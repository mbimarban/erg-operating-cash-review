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FO_Summary" sheetId="1" state="visible" r:id="rId1"/>
    <sheet xmlns:r="http://schemas.openxmlformats.org/officeDocument/2006/relationships" name="EBITDA_CFO" sheetId="2" state="visible" r:id="rId2"/>
    <sheet xmlns:r="http://schemas.openxmlformats.org/officeDocument/2006/relationships" name="Working_Capital" sheetId="3" state="visible" r:id="rId3"/>
    <sheet xmlns:r="http://schemas.openxmlformats.org/officeDocument/2006/relationships" name="Cash_Flow_Sales" sheetId="4" state="visible" r:id="rId4"/>
    <sheet xmlns:r="http://schemas.openxmlformats.org/officeDocument/2006/relationships" name="CCC" sheetId="5" state="visible" r:id="rId5"/>
    <sheet xmlns:r="http://schemas.openxmlformats.org/officeDocument/2006/relationships" name="Profitability" sheetId="6" state="visible" r:id="rId6"/>
    <sheet xmlns:r="http://schemas.openxmlformats.org/officeDocument/2006/relationships" name="Liquidity_Debt" sheetId="7" state="visible" r:id="rId7"/>
    <sheet xmlns:r="http://schemas.openxmlformats.org/officeDocument/2006/relationships" name="CFO_Driver_Bridge" sheetId="8" state="visible" r:id="rId8"/>
    <sheet xmlns:r="http://schemas.openxmlformats.org/officeDocument/2006/relationships" name="CFO_Storytelling" sheetId="9" state="visible" r:id="rId9"/>
    <sheet xmlns:r="http://schemas.openxmlformats.org/officeDocument/2006/relationships" name="Red_Flags" sheetId="10" state="visible" r:id="rId10"/>
    <sheet xmlns:r="http://schemas.openxmlformats.org/officeDocument/2006/relationships" name="Data_Requests" sheetId="11" state="visible" r:id="rId11"/>
    <sheet xmlns:r="http://schemas.openxmlformats.org/officeDocument/2006/relationships" name="Flags" sheetId="12" state="visible" r:id="rId12"/>
    <sheet xmlns:r="http://schemas.openxmlformats.org/officeDocument/2006/relationships" name="Story_Data" sheetId="13" state="visible" r:id="rId13"/>
    <sheet xmlns:r="http://schemas.openxmlformats.org/officeDocument/2006/relationships" name="01_Source_Data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#,##0;\(#,##0\);\-"/>
    <numFmt numFmtId="165" formatCode="0&quot; dni&quot;"/>
    <numFmt numFmtId="166" formatCode="0.00\x;\(0.00&quot;x)&quot;;\-"/>
    <numFmt numFmtId="167" formatCode="0.0%;\(0.0%\);\-"/>
    <numFmt numFmtId="168" formatCode="0&quot; dni&quot;;\(0&quot; dni)&quot;;\-"/>
    <numFmt numFmtId="169" formatCode="\+0&quot; dni&quot;;\-0&quot; dni&quot;;\-"/>
    <numFmt numFmtId="170" formatCode="\+0.0&quot; pp&quot;;\-0.0&quot; pp&quot;;\-"/>
    <numFmt numFmtId="171" formatCode="0.00\x"/>
    <numFmt numFmtId="172" formatCode="0.0%"/>
    <numFmt numFmtId="173" formatCode="\+#,##0;\-#,##0;\-"/>
    <numFmt numFmtId="174" formatCode="0.0&quot; dni&quot;;\(0.0&quot; dni)&quot;;\-"/>
    <numFmt numFmtId="175" formatCode="\+0.0&quot; dni&quot;;\-0.0&quot; dni&quot;;\-"/>
  </numFmts>
  <fonts count="4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595959"/>
      <sz val="9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1A7A40"/>
      <sz val="12"/>
    </font>
    <font>
      <name val="Calibri"/>
      <charset val="1"/>
      <family val="0"/>
      <b val="1"/>
      <color rgb="FFC00000"/>
      <sz val="12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color rgb="FFC00000"/>
      <sz val="10"/>
    </font>
    <font>
      <name val="Calibri"/>
      <charset val="1"/>
      <family val="0"/>
      <color rgb="FFC00000"/>
      <sz val="10"/>
    </font>
    <font>
      <name val="Calibri"/>
      <charset val="1"/>
      <family val="0"/>
      <b val="1"/>
      <color rgb="FF1A7A40"/>
      <sz val="10"/>
    </font>
    <font>
      <name val="Calibri"/>
      <charset val="1"/>
      <family val="0"/>
      <color rgb="FF1A7A40"/>
      <sz val="10"/>
    </font>
    <font>
      <name val="Calibri"/>
      <charset val="1"/>
      <family val="0"/>
      <color rgb="FF595959"/>
      <sz val="10"/>
    </font>
    <font>
      <name val="Calibri"/>
      <charset val="1"/>
      <family val="0"/>
      <color rgb="FF1F3864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595959"/>
      <sz val="10"/>
    </font>
    <font>
      <name val="Calibri"/>
      <charset val="1"/>
      <family val="0"/>
      <color rgb="FF000000"/>
      <sz val="11"/>
    </font>
    <font>
      <name val="Calibri"/>
      <charset val="1"/>
      <family val="0"/>
      <color rgb="FF1A7A40"/>
      <sz val="11"/>
    </font>
    <font>
      <name val="Calibri"/>
      <charset val="1"/>
      <family val="0"/>
      <color rgb="FFC00000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b val="1"/>
      <color rgb="FF1A7A40"/>
      <sz val="11"/>
    </font>
    <font>
      <name val="Calibri"/>
      <charset val="1"/>
      <family val="0"/>
      <b val="1"/>
      <color rgb="FFC00000"/>
      <sz val="11"/>
    </font>
    <font>
      <name val="Calibri"/>
      <charset val="1"/>
      <family val="0"/>
      <i val="1"/>
      <color rgb="FF2E4057"/>
      <sz val="9"/>
    </font>
    <font>
      <name val="Calibri"/>
      <charset val="1"/>
      <family val="0"/>
      <color rgb="FFFFFFFF"/>
      <sz val="9"/>
    </font>
    <font>
      <name val="Calibri"/>
      <charset val="1"/>
      <family val="0"/>
      <b val="1"/>
      <color rgb="FFC00000"/>
      <sz val="9"/>
    </font>
    <font>
      <name val="Calibri"/>
      <charset val="1"/>
      <family val="0"/>
      <b val="1"/>
      <color rgb="FF1A7A40"/>
      <sz val="9"/>
    </font>
    <font>
      <name val="Calibri"/>
      <charset val="1"/>
      <family val="0"/>
      <sz val="13"/>
    </font>
    <font>
      <name val="Calibri"/>
      <charset val="1"/>
      <family val="0"/>
      <sz val="11"/>
    </font>
    <font>
      <name val="Calibri"/>
      <charset val="1"/>
      <family val="0"/>
      <b val="1"/>
      <i val="1"/>
      <color rgb="FF1A7A40"/>
      <sz val="9"/>
    </font>
    <font>
      <name val="Calibri"/>
      <charset val="1"/>
      <family val="0"/>
      <color rgb="FF595959"/>
      <sz val="9"/>
    </font>
    <font>
      <name val="Calibri"/>
      <charset val="1"/>
      <family val="0"/>
      <color rgb="FF595959"/>
      <sz val="11"/>
    </font>
    <font>
      <name val="Calibri"/>
      <charset val="1"/>
      <family val="0"/>
      <b val="1"/>
      <color rgb="FF1A7A40"/>
      <sz val="13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sz val="9"/>
    </font>
    <font>
      <name val="Calibri"/>
      <charset val="1"/>
      <family val="0"/>
      <color rgb="FF000000"/>
      <sz val="10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b val="1"/>
      <color rgb="FFB8860B"/>
      <sz val="11"/>
    </font>
    <font>
      <name val="Calibri"/>
      <charset val="1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B8860B"/>
      <sz val="9"/>
    </font>
    <font>
      <name val="Calibri"/>
      <charset val="1"/>
      <family val="0"/>
      <i val="1"/>
      <color rgb="FF595959"/>
      <sz val="8"/>
    </font>
    <font>
      <name val="Calibri"/>
      <charset val="1"/>
      <family val="0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EBF3FB"/>
        <bgColor rgb="FFFFFFFF"/>
      </patternFill>
    </fill>
    <fill>
      <patternFill patternType="solid">
        <fgColor rgb="FF1F3864"/>
        <bgColor rgb="FF2E405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right" vertical="center"/>
    </xf>
    <xf numFmtId="164" fontId="22" fillId="0" borderId="0" applyAlignment="1" pivotButton="0" quotePrefix="0" xfId="0">
      <alignment horizontal="right" vertical="center"/>
    </xf>
    <xf numFmtId="0" fontId="23" fillId="0" borderId="2" applyAlignment="1" pivotButton="0" quotePrefix="0" xfId="0">
      <alignment horizontal="left" vertical="center"/>
    </xf>
    <xf numFmtId="164" fontId="24" fillId="0" borderId="2" applyAlignment="1" pivotButton="0" quotePrefix="0" xfId="0">
      <alignment horizontal="right" vertical="center"/>
    </xf>
    <xf numFmtId="164" fontId="25" fillId="0" borderId="2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166" fontId="2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general" vertical="center" wrapText="1" indent="1"/>
    </xf>
    <xf numFmtId="164" fontId="20" fillId="0" borderId="0" applyAlignment="1" pivotButton="0" quotePrefix="0" xfId="0">
      <alignment horizontal="right" vertical="center"/>
    </xf>
    <xf numFmtId="0" fontId="20" fillId="0" borderId="2" applyAlignment="1" pivotButton="0" quotePrefix="0" xfId="0">
      <alignment horizontal="left" vertical="center"/>
    </xf>
    <xf numFmtId="164" fontId="20" fillId="0" borderId="2" applyAlignment="1" pivotButton="0" quotePrefix="0" xfId="0">
      <alignment horizontal="right" vertical="center"/>
    </xf>
    <xf numFmtId="164" fontId="23" fillId="0" borderId="2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general" vertical="bottom"/>
    </xf>
    <xf numFmtId="164" fontId="22" fillId="0" borderId="2" applyAlignment="1" pivotButton="0" quotePrefix="0" xfId="0">
      <alignment horizontal="right" vertical="center"/>
    </xf>
    <xf numFmtId="164" fontId="21" fillId="0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168" fontId="22" fillId="0" borderId="2" applyAlignment="1" pivotButton="0" quotePrefix="0" xfId="0">
      <alignment horizontal="right" vertical="center"/>
    </xf>
    <xf numFmtId="169" fontId="22" fillId="0" borderId="2" applyAlignment="1" pivotButton="0" quotePrefix="0" xfId="0">
      <alignment horizontal="right" vertical="center"/>
    </xf>
    <xf numFmtId="0" fontId="30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general" vertical="center" wrapText="1"/>
    </xf>
    <xf numFmtId="168" fontId="21" fillId="0" borderId="2" applyAlignment="1" pivotButton="0" quotePrefix="0" xfId="0">
      <alignment horizontal="right" vertical="center"/>
    </xf>
    <xf numFmtId="169" fontId="21" fillId="0" borderId="2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0" fontId="3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7" fontId="31" fillId="0" borderId="2" applyAlignment="1" pivotButton="0" quotePrefix="0" xfId="0">
      <alignment horizontal="right" vertical="center"/>
    </xf>
    <xf numFmtId="167" fontId="22" fillId="0" borderId="2" applyAlignment="1" pivotButton="0" quotePrefix="0" xfId="0">
      <alignment horizontal="right" vertical="center"/>
    </xf>
    <xf numFmtId="170" fontId="31" fillId="0" borderId="2" applyAlignment="1" pivotButton="0" quotePrefix="0" xfId="0">
      <alignment horizontal="right" vertical="center"/>
    </xf>
    <xf numFmtId="167" fontId="21" fillId="0" borderId="2" applyAlignment="1" pivotButton="0" quotePrefix="0" xfId="0">
      <alignment horizontal="right" vertical="center"/>
    </xf>
    <xf numFmtId="0" fontId="32" fillId="0" borderId="1" applyAlignment="1" pivotButton="0" quotePrefix="0" xfId="0">
      <alignment horizontal="left" vertical="center"/>
    </xf>
    <xf numFmtId="171" fontId="21" fillId="0" borderId="2" applyAlignment="1" pivotButton="0" quotePrefix="0" xfId="0">
      <alignment horizontal="right" vertical="center"/>
    </xf>
    <xf numFmtId="0" fontId="33" fillId="0" borderId="2" applyAlignment="1" pivotButton="0" quotePrefix="0" xfId="0">
      <alignment horizontal="right" vertical="center"/>
    </xf>
    <xf numFmtId="171" fontId="22" fillId="0" borderId="2" applyAlignment="1" pivotButton="0" quotePrefix="0" xfId="0">
      <alignment horizontal="right" vertical="center"/>
    </xf>
    <xf numFmtId="172" fontId="22" fillId="0" borderId="2" applyAlignment="1" pivotButton="0" quotePrefix="0" xfId="0">
      <alignment horizontal="right" vertical="center"/>
    </xf>
    <xf numFmtId="173" fontId="22" fillId="0" borderId="2" applyAlignment="1" pivotButton="0" quotePrefix="0" xfId="0">
      <alignment horizontal="right" vertical="center"/>
    </xf>
    <xf numFmtId="173" fontId="21" fillId="0" borderId="2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/>
    </xf>
    <xf numFmtId="173" fontId="34" fillId="0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left" vertical="center"/>
    </xf>
    <xf numFmtId="164" fontId="35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37" fillId="0" borderId="2" applyAlignment="1" pivotButton="0" quotePrefix="0" xfId="0">
      <alignment horizontal="general" vertical="top" wrapText="1"/>
    </xf>
    <xf numFmtId="0" fontId="25" fillId="0" borderId="2" applyAlignment="1" pivotButton="0" quotePrefix="0" xfId="0">
      <alignment horizontal="left" vertical="center"/>
    </xf>
    <xf numFmtId="0" fontId="38" fillId="0" borderId="2" applyAlignment="1" pivotButton="0" quotePrefix="0" xfId="0">
      <alignment horizontal="general" vertical="center" wrapText="1"/>
    </xf>
    <xf numFmtId="0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general" vertical="bottom"/>
    </xf>
    <xf numFmtId="0" fontId="42" fillId="3" borderId="0" applyAlignment="1" pivotButton="0" quotePrefix="0" xfId="0">
      <alignment horizontal="left" vertical="center"/>
    </xf>
    <xf numFmtId="0" fontId="42" fillId="3" borderId="0" applyAlignment="1" pivotButton="0" quotePrefix="0" xfId="0">
      <alignment horizontal="right" vertical="center"/>
    </xf>
    <xf numFmtId="0" fontId="43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174" fontId="41" fillId="0" borderId="2" applyAlignment="1" pivotButton="0" quotePrefix="0" xfId="0">
      <alignment horizontal="right" vertical="center"/>
    </xf>
    <xf numFmtId="175" fontId="41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  <xf numFmtId="164" fontId="41" fillId="0" borderId="2" applyAlignment="1" pivotButton="0" quotePrefix="0" xfId="0">
      <alignment horizontal="right" vertical="center"/>
    </xf>
    <xf numFmtId="167" fontId="41" fillId="0" borderId="2" applyAlignment="1" pivotButton="0" quotePrefix="0" xfId="0">
      <alignment horizontal="right" vertical="center"/>
    </xf>
    <xf numFmtId="0" fontId="44" fillId="0" borderId="2" applyAlignment="1" pivotButton="0" quotePrefix="0" xfId="0">
      <alignment horizontal="left" vertical="center"/>
    </xf>
    <xf numFmtId="170" fontId="41" fillId="0" borderId="2" applyAlignment="1" pivotButton="0" quotePrefix="0" xfId="0">
      <alignment horizontal="right" vertical="center"/>
    </xf>
    <xf numFmtId="166" fontId="41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45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164" fontId="46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general" vertical="bottom"/>
    </xf>
    <xf numFmtId="164" fontId="38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2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right" vertical="center"/>
    </xf>
    <xf numFmtId="164" fontId="22" fillId="0" borderId="0" applyAlignment="1" pivotButton="0" quotePrefix="0" xfId="0">
      <alignment horizontal="right" vertical="center"/>
    </xf>
    <xf numFmtId="0" fontId="23" fillId="0" borderId="2" applyAlignment="1" pivotButton="0" quotePrefix="0" xfId="0">
      <alignment horizontal="left" vertical="center"/>
    </xf>
    <xf numFmtId="164" fontId="24" fillId="0" borderId="2" applyAlignment="1" pivotButton="0" quotePrefix="0" xfId="0">
      <alignment horizontal="right" vertical="center"/>
    </xf>
    <xf numFmtId="164" fontId="25" fillId="0" borderId="2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166" fontId="2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general" vertical="center" wrapText="1" indent="1"/>
    </xf>
    <xf numFmtId="164" fontId="20" fillId="0" borderId="0" applyAlignment="1" pivotButton="0" quotePrefix="0" xfId="0">
      <alignment horizontal="right" vertical="center"/>
    </xf>
    <xf numFmtId="0" fontId="20" fillId="0" borderId="2" applyAlignment="1" pivotButton="0" quotePrefix="0" xfId="0">
      <alignment horizontal="left" vertical="center"/>
    </xf>
    <xf numFmtId="164" fontId="20" fillId="0" borderId="2" applyAlignment="1" pivotButton="0" quotePrefix="0" xfId="0">
      <alignment horizontal="right" vertical="center"/>
    </xf>
    <xf numFmtId="164" fontId="23" fillId="0" borderId="2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general" vertical="bottom"/>
    </xf>
    <xf numFmtId="164" fontId="22" fillId="0" borderId="2" applyAlignment="1" pivotButton="0" quotePrefix="0" xfId="0">
      <alignment horizontal="right" vertical="center"/>
    </xf>
    <xf numFmtId="164" fontId="21" fillId="0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7" fontId="15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168" fontId="22" fillId="0" borderId="2" applyAlignment="1" pivotButton="0" quotePrefix="0" xfId="0">
      <alignment horizontal="right" vertical="center"/>
    </xf>
    <xf numFmtId="169" fontId="22" fillId="0" borderId="2" applyAlignment="1" pivotButton="0" quotePrefix="0" xfId="0">
      <alignment horizontal="right" vertical="center"/>
    </xf>
    <xf numFmtId="0" fontId="30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general" vertical="center" wrapText="1"/>
    </xf>
    <xf numFmtId="168" fontId="21" fillId="0" borderId="2" applyAlignment="1" pivotButton="0" quotePrefix="0" xfId="0">
      <alignment horizontal="right" vertical="center"/>
    </xf>
    <xf numFmtId="169" fontId="21" fillId="0" borderId="2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0" fontId="30" fillId="0" borderId="1" applyAlignment="1" pivotButton="0" quotePrefix="0" xfId="0">
      <alignment horizontal="center" vertical="center"/>
    </xf>
    <xf numFmtId="167" fontId="31" fillId="0" borderId="2" applyAlignment="1" pivotButton="0" quotePrefix="0" xfId="0">
      <alignment horizontal="right" vertical="center"/>
    </xf>
    <xf numFmtId="167" fontId="22" fillId="0" borderId="2" applyAlignment="1" pivotButton="0" quotePrefix="0" xfId="0">
      <alignment horizontal="right" vertical="center"/>
    </xf>
    <xf numFmtId="170" fontId="31" fillId="0" borderId="2" applyAlignment="1" pivotButton="0" quotePrefix="0" xfId="0">
      <alignment horizontal="right" vertical="center"/>
    </xf>
    <xf numFmtId="167" fontId="21" fillId="0" borderId="2" applyAlignment="1" pivotButton="0" quotePrefix="0" xfId="0">
      <alignment horizontal="right" vertical="center"/>
    </xf>
    <xf numFmtId="0" fontId="32" fillId="0" borderId="1" applyAlignment="1" pivotButton="0" quotePrefix="0" xfId="0">
      <alignment horizontal="left" vertical="center"/>
    </xf>
    <xf numFmtId="171" fontId="21" fillId="0" borderId="2" applyAlignment="1" pivotButton="0" quotePrefix="0" xfId="0">
      <alignment horizontal="right" vertical="center"/>
    </xf>
    <xf numFmtId="0" fontId="33" fillId="0" borderId="2" applyAlignment="1" pivotButton="0" quotePrefix="0" xfId="0">
      <alignment horizontal="right" vertical="center"/>
    </xf>
    <xf numFmtId="171" fontId="22" fillId="0" borderId="2" applyAlignment="1" pivotButton="0" quotePrefix="0" xfId="0">
      <alignment horizontal="right" vertical="center"/>
    </xf>
    <xf numFmtId="172" fontId="22" fillId="0" borderId="2" applyAlignment="1" pivotButton="0" quotePrefix="0" xfId="0">
      <alignment horizontal="right" vertical="center"/>
    </xf>
    <xf numFmtId="173" fontId="22" fillId="0" borderId="2" applyAlignment="1" pivotButton="0" quotePrefix="0" xfId="0">
      <alignment horizontal="right" vertical="center"/>
    </xf>
    <xf numFmtId="173" fontId="21" fillId="0" borderId="2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/>
    </xf>
    <xf numFmtId="173" fontId="34" fillId="0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left" vertical="center"/>
    </xf>
    <xf numFmtId="164" fontId="35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37" fillId="0" borderId="2" applyAlignment="1" pivotButton="0" quotePrefix="0" xfId="0">
      <alignment horizontal="general" vertical="top" wrapText="1"/>
    </xf>
    <xf numFmtId="0" fontId="25" fillId="0" borderId="2" applyAlignment="1" pivotButton="0" quotePrefix="0" xfId="0">
      <alignment horizontal="left" vertical="center"/>
    </xf>
    <xf numFmtId="0" fontId="38" fillId="0" borderId="2" applyAlignment="1" pivotButton="0" quotePrefix="0" xfId="0">
      <alignment horizontal="general" vertical="center" wrapText="1"/>
    </xf>
    <xf numFmtId="0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general" vertical="bottom"/>
    </xf>
    <xf numFmtId="0" fontId="42" fillId="3" borderId="0" applyAlignment="1" pivotButton="0" quotePrefix="0" xfId="0">
      <alignment horizontal="left" vertical="center"/>
    </xf>
    <xf numFmtId="0" fontId="42" fillId="3" borderId="0" applyAlignment="1" pivotButton="0" quotePrefix="0" xfId="0">
      <alignment horizontal="right" vertical="center"/>
    </xf>
    <xf numFmtId="0" fontId="43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174" fontId="41" fillId="0" borderId="2" applyAlignment="1" pivotButton="0" quotePrefix="0" xfId="0">
      <alignment horizontal="right" vertical="center"/>
    </xf>
    <xf numFmtId="175" fontId="41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  <xf numFmtId="164" fontId="41" fillId="0" borderId="2" applyAlignment="1" pivotButton="0" quotePrefix="0" xfId="0">
      <alignment horizontal="right" vertical="center"/>
    </xf>
    <xf numFmtId="167" fontId="41" fillId="0" borderId="2" applyAlignment="1" pivotButton="0" quotePrefix="0" xfId="0">
      <alignment horizontal="right" vertical="center"/>
    </xf>
    <xf numFmtId="0" fontId="44" fillId="0" borderId="2" applyAlignment="1" pivotButton="0" quotePrefix="0" xfId="0">
      <alignment horizontal="left" vertical="center"/>
    </xf>
    <xf numFmtId="170" fontId="41" fillId="0" borderId="2" applyAlignment="1" pivotButton="0" quotePrefix="0" xfId="0">
      <alignment horizontal="right" vertical="center"/>
    </xf>
    <xf numFmtId="166" fontId="41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45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164" fontId="46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general" vertical="bottom"/>
    </xf>
    <xf numFmtId="164" fontId="38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A4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8" min="1" max="1"/>
    <col width="14" customWidth="1" style="108" min="2" max="4"/>
    <col width="2" customWidth="1" style="108" min="5" max="5"/>
    <col width="22" customWidth="1" style="108" min="6" max="6"/>
    <col width="42" customWidth="1" style="108" min="7" max="7"/>
  </cols>
  <sheetData>
    <row r="1" ht="36" customHeight="1" s="109">
      <c r="A1" s="110" t="inlineStr">
        <is>
          <t>ERG S.A.  —  CFO ANALYSIS</t>
        </is>
      </c>
    </row>
    <row r="2" ht="18" customHeight="1" s="109">
      <c r="A2" s="111" t="inlineStr">
        <is>
          <t>Producent folii PE  |  2023 – 2025  |  tys. zł</t>
        </is>
      </c>
      <c r="B2" s="112" t="n"/>
      <c r="C2" s="112" t="n"/>
      <c r="D2" s="112" t="n"/>
      <c r="E2" s="112" t="n"/>
      <c r="F2" s="112" t="n"/>
      <c r="G2" s="112" t="n"/>
    </row>
    <row r="3" ht="12" customHeight="1" s="109"/>
    <row r="4" ht="15.75" customHeight="1" s="109">
      <c r="A4" s="113" t="inlineStr">
        <is>
          <t>KEY METRICS</t>
        </is>
      </c>
      <c r="B4" s="114" t="inlineStr">
        <is>
          <t>2023</t>
        </is>
      </c>
      <c r="C4" s="114" t="inlineStr">
        <is>
          <t>2024</t>
        </is>
      </c>
      <c r="D4" s="114" t="inlineStr">
        <is>
          <t>2025</t>
        </is>
      </c>
    </row>
    <row r="5" ht="27.75" customHeight="1" s="109">
      <c r="A5" s="115" t="inlineStr">
        <is>
          <t>EBITDA</t>
        </is>
      </c>
      <c r="B5" s="116">
        <f>'01_Source_Data'!B10</f>
        <v/>
      </c>
      <c r="C5" s="117">
        <f>'01_Source_Data'!C10</f>
        <v/>
      </c>
      <c r="D5" s="116">
        <f>'01_Source_Data'!D10</f>
        <v/>
      </c>
    </row>
    <row r="6" ht="27.75" customHeight="1" s="109">
      <c r="A6" s="115" t="inlineStr">
        <is>
          <t>CFO</t>
        </is>
      </c>
      <c r="B6" s="116">
        <f>'01_Source_Data'!B23</f>
        <v/>
      </c>
      <c r="C6" s="117">
        <f>'01_Source_Data'!C23</f>
        <v/>
      </c>
      <c r="D6" s="116">
        <f>'01_Source_Data'!D23</f>
        <v/>
      </c>
    </row>
    <row r="7" ht="27.75" customHeight="1" s="109">
      <c r="A7" s="115" t="inlineStr">
        <is>
          <t>CCC (dni)</t>
        </is>
      </c>
      <c r="B7" s="118" t="inlineStr">
        <is>
          <t>n/d</t>
        </is>
      </c>
      <c r="C7" s="119">
        <f>CCC!C6</f>
        <v/>
      </c>
      <c r="D7" s="120">
        <f>CCC!D6</f>
        <v/>
      </c>
    </row>
    <row r="8" ht="27.75" customHeight="1" s="109">
      <c r="A8" s="115" t="inlineStr">
        <is>
          <t>Cash Flow Sales</t>
        </is>
      </c>
      <c r="B8" s="118" t="inlineStr">
        <is>
          <t>n/d</t>
        </is>
      </c>
      <c r="C8" s="117">
        <f>Cash_Flow_Sales!C5</f>
        <v/>
      </c>
      <c r="D8" s="116">
        <f>Cash_Flow_Sales!D5</f>
        <v/>
      </c>
    </row>
    <row r="9" ht="12" customHeight="1" s="109"/>
    <row r="10" ht="15.75" customHeight="1" s="109">
      <c r="A10" s="121" t="inlineStr">
        <is>
          <t>WHAT DRIVES CASH</t>
        </is>
      </c>
      <c r="B10" s="112" t="n"/>
      <c r="C10" s="112" t="n"/>
      <c r="D10" s="112" t="n"/>
      <c r="E10" s="122" t="n"/>
      <c r="F10" s="122" t="n"/>
      <c r="G10" s="122" t="n"/>
    </row>
    <row r="11" ht="18" customHeight="1" s="109">
      <c r="A11" s="123" t="inlineStr">
        <is>
          <t>2024  —  Problemy</t>
        </is>
      </c>
    </row>
    <row r="12" ht="15.75" customHeight="1" s="109">
      <c r="A12" s="124" t="inlineStr">
        <is>
          <t xml:space="preserve">  −  Revenue decline  −22%</t>
        </is>
      </c>
    </row>
    <row r="13" ht="15.75" customHeight="1" s="109">
      <c r="A13" s="124" t="inlineStr">
        <is>
          <t xml:space="preserve">  −  Inventory build-up  ↑ DIO 82 dni</t>
        </is>
      </c>
    </row>
    <row r="14" ht="15.75" customHeight="1" s="109">
      <c r="A14" s="124" t="inlineStr">
        <is>
          <t xml:space="preserve">  −  Payables fell  ↓ DPO 45 dni</t>
        </is>
      </c>
    </row>
    <row r="15" ht="6" customHeight="1" s="109"/>
    <row r="16" ht="18" customHeight="1" s="109">
      <c r="A16" s="125" t="inlineStr">
        <is>
          <t>2025  —  Co pomogło</t>
        </is>
      </c>
    </row>
    <row r="17" ht="15.75" customHeight="1" s="109">
      <c r="A17" s="126" t="inlineStr">
        <is>
          <t xml:space="preserve">  +  Inventory reduction  ↓ DIO 73 dni  (+1 463)</t>
        </is>
      </c>
    </row>
    <row r="18" ht="15.75" customHeight="1" s="109">
      <c r="A18" s="126" t="inlineStr">
        <is>
          <t xml:space="preserve">  +  Payables increase  ↑ DPO 56 dni  (+1 922)</t>
        </is>
      </c>
    </row>
    <row r="19" ht="15.75" customHeight="1" s="109">
      <c r="A19" s="126" t="inlineStr">
        <is>
          <t xml:space="preserve">  +  Lower raw material prices (PE effect)</t>
        </is>
      </c>
    </row>
    <row r="20" ht="15.75" customHeight="1" s="109">
      <c r="A20" s="127" t="inlineStr">
        <is>
          <t xml:space="preserve">  ⚠   Receivables increase  ↑ DSO 51 dni  (−1 195)</t>
        </is>
      </c>
    </row>
    <row r="21" ht="15.75" customHeight="1" s="109">
      <c r="A21" s="128" t="inlineStr">
        <is>
          <t xml:space="preserve">  ⚠   No structural margin improvement</t>
        </is>
      </c>
      <c r="B21" s="129" t="n"/>
      <c r="C21" s="129" t="n"/>
      <c r="D21" s="129" t="n"/>
      <c r="E21" s="130" t="n"/>
      <c r="F21" s="130" t="n"/>
      <c r="G21" s="130" t="n"/>
    </row>
    <row r="22" ht="12" customHeight="1" s="109"/>
    <row r="23" ht="15.75" customHeight="1" s="109">
      <c r="A23" s="121" t="inlineStr">
        <is>
          <t>KEY MESSAGE</t>
        </is>
      </c>
      <c r="B23" s="112" t="n"/>
      <c r="C23" s="112" t="n"/>
      <c r="D23" s="112" t="n"/>
      <c r="E23" s="112" t="n"/>
      <c r="F23" s="112" t="n"/>
      <c r="G23" s="112" t="n"/>
    </row>
    <row r="24" ht="36" customHeight="1" s="109">
      <c r="A24" s="131" t="inlineStr">
        <is>
          <t>ERG improved cash flow in 2025 through working capital optimization and lower raw material prices — not through structural margin recovery. CCC improved from 83 to 68 days. However, COGS% continues to rise (86.4%) and DSO is growing (51 days). The business generates cash, but does not yet earn it.</t>
        </is>
      </c>
    </row>
    <row r="25" ht="19.5" customHeight="1" s="109"/>
  </sheetData>
  <mergeCells count="15">
    <mergeCell ref="A17:D17"/>
    <mergeCell ref="A18:D18"/>
    <mergeCell ref="A1:G1"/>
    <mergeCell ref="A24:G25"/>
    <mergeCell ref="A12:D12"/>
    <mergeCell ref="A20:D20"/>
    <mergeCell ref="A21:D21"/>
    <mergeCell ref="A2:G2"/>
    <mergeCell ref="A16:D16"/>
    <mergeCell ref="A11:D11"/>
    <mergeCell ref="A19:D19"/>
    <mergeCell ref="A10:D10"/>
    <mergeCell ref="A13:D13"/>
    <mergeCell ref="A14:D14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8" min="1" max="1"/>
    <col width="2" customWidth="1" style="108" min="2" max="2"/>
    <col width="16" customWidth="1" style="108" min="3" max="5"/>
    <col width="30" customWidth="1" style="108" min="6" max="6"/>
  </cols>
  <sheetData>
    <row r="1" ht="31.5" customHeight="1" s="109">
      <c r="A1" s="132" t="inlineStr">
        <is>
          <t>EBITDA vs CFO  —  Gotówkowa siła operacyjna</t>
        </is>
      </c>
    </row>
    <row r="2" ht="13.5" customHeight="1" s="109">
      <c r="A2" s="133" t="inlineStr">
        <is>
          <t>tys. zł  |  Amortyzacja jest kluczowa dla producenta: maszyny, linie produkcyjne</t>
        </is>
      </c>
      <c r="B2" s="112" t="n"/>
      <c r="C2" s="112" t="n"/>
      <c r="D2" s="112" t="n"/>
      <c r="E2" s="112" t="n"/>
      <c r="F2" s="112" t="n"/>
    </row>
    <row r="3" ht="18" customHeight="1" s="109">
      <c r="A3" s="130" t="n"/>
      <c r="B3" s="130" t="n"/>
      <c r="C3" s="134" t="inlineStr">
        <is>
          <t>2023</t>
        </is>
      </c>
      <c r="D3" s="134" t="inlineStr">
        <is>
          <t>2024</t>
        </is>
      </c>
      <c r="E3" s="134" t="inlineStr">
        <is>
          <t>2025</t>
        </is>
      </c>
      <c r="F3" s="130" t="n"/>
    </row>
    <row r="4" ht="21.75" customHeight="1" s="109">
      <c r="A4" s="135" t="inlineStr">
        <is>
          <t>EBIT</t>
        </is>
      </c>
      <c r="C4" s="136">
        <f>'01_Source_Data'!B8</f>
        <v/>
      </c>
      <c r="D4" s="137">
        <f>'01_Source_Data'!C8</f>
        <v/>
      </c>
      <c r="E4" s="136">
        <f>'01_Source_Data'!D8</f>
        <v/>
      </c>
    </row>
    <row r="5" ht="21.75" customHeight="1" s="109">
      <c r="A5" s="135" t="inlineStr">
        <is>
          <t xml:space="preserve">  + Amortyzacja (D&amp;A)</t>
        </is>
      </c>
      <c r="C5" s="136">
        <f>'01_Source_Data'!B9</f>
        <v/>
      </c>
      <c r="D5" s="136">
        <f>'01_Source_Data'!C9</f>
        <v/>
      </c>
      <c r="E5" s="136">
        <f>'01_Source_Data'!D9</f>
        <v/>
      </c>
    </row>
    <row r="6" ht="21.75" customHeight="1" s="109">
      <c r="A6" s="138" t="inlineStr">
        <is>
          <t>EBITDA</t>
        </is>
      </c>
      <c r="B6" s="130" t="n"/>
      <c r="C6" s="139">
        <f>'01_Source_Data'!B10</f>
        <v/>
      </c>
      <c r="D6" s="139">
        <f>'01_Source_Data'!C10</f>
        <v/>
      </c>
      <c r="E6" s="139">
        <f>'01_Source_Data'!D10</f>
        <v/>
      </c>
      <c r="F6" s="130" t="n"/>
    </row>
    <row r="7" ht="21.75" customHeight="1" s="109">
      <c r="A7" s="138" t="inlineStr">
        <is>
          <t>CFO</t>
        </is>
      </c>
      <c r="B7" s="130" t="n"/>
      <c r="C7" s="139">
        <f>'01_Source_Data'!B23</f>
        <v/>
      </c>
      <c r="D7" s="140">
        <f>'01_Source_Data'!C23</f>
        <v/>
      </c>
      <c r="E7" s="139">
        <f>'01_Source_Data'!D23</f>
        <v/>
      </c>
      <c r="F7" s="130" t="n"/>
    </row>
    <row r="8" ht="21.75" customHeight="1" s="109">
      <c r="A8" s="135" t="inlineStr">
        <is>
          <t xml:space="preserve">  CFO / EBITDA</t>
        </is>
      </c>
      <c r="C8" s="141">
        <f>IF(C6=0,"n/d",C7/C6)</f>
        <v/>
      </c>
      <c r="D8" s="142">
        <f>IF(D6=0,"n/d",D7/D6)</f>
        <v/>
      </c>
      <c r="E8" s="141">
        <f>IF(E6=0,"n/d",E7/E6)</f>
        <v/>
      </c>
    </row>
    <row r="9" ht="21.75" customHeight="1" s="109">
      <c r="A9" s="135" t="inlineStr">
        <is>
          <t>Zysk netto</t>
        </is>
      </c>
      <c r="C9" s="136">
        <f>'01_Source_Data'!B11</f>
        <v/>
      </c>
      <c r="D9" s="137">
        <f>'01_Source_Data'!C11</f>
        <v/>
      </c>
      <c r="E9" s="137">
        <f>'01_Source_Data'!D11</f>
        <v/>
      </c>
    </row>
    <row r="10" ht="21.75" customHeight="1" s="109">
      <c r="A10" s="135" t="inlineStr">
        <is>
          <t xml:space="preserve">  CCR (CFO / Zysk netto)</t>
        </is>
      </c>
      <c r="C10" s="141">
        <f>IF('01_Source_Data'!B11&lt;=0,"n/d",'01_Source_Data'!B23/'01_Source_Data'!B11)</f>
        <v/>
      </c>
      <c r="D10" s="143" t="inlineStr">
        <is>
          <t>n/d</t>
        </is>
      </c>
      <c r="E10" s="143" t="inlineStr">
        <is>
          <t>n/d</t>
        </is>
      </c>
    </row>
    <row r="11" ht="9.75" customHeight="1" s="109"/>
    <row r="12" ht="43.5" customHeight="1" s="109">
      <c r="A12" s="144" t="inlineStr">
        <is>
          <t>INSIGHT  ·  2023: CFO/EBITDA = 0.72x — dobra konwersja.  2024: EBITDA dodatnia (+3 828), ale CFO ujemny (−1 128): KON pochłonął gotówkę.  2025: CFO &gt; EBITDA (1.37x) — uwolnienie KON, nie poprawa marży.  CCR nie stosujemy gdy zysk netto ≤ 0 (2024, 2025).</t>
        </is>
      </c>
    </row>
  </sheetData>
  <mergeCells count="3">
    <mergeCell ref="A2:F2"/>
    <mergeCell ref="A1:F1"/>
    <mergeCell ref="A12:F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08" min="1" max="1"/>
    <col width="2" customWidth="1" style="108" min="2" max="2"/>
    <col width="16" customWidth="1" style="108" min="3" max="4"/>
    <col width="2" customWidth="1" style="108" min="5" max="5"/>
    <col width="30" customWidth="1" style="108" min="6" max="6"/>
  </cols>
  <sheetData>
    <row r="1" ht="31.5" customHeight="1" s="109">
      <c r="A1" s="132" t="inlineStr">
        <is>
          <t>WORKING CAPITAL  —  Gdzie siedzi gotówka?</t>
        </is>
      </c>
    </row>
    <row r="2" ht="13.5" customHeight="1" s="109">
      <c r="A2" s="133" t="inlineStr">
        <is>
          <t>tys. zł  |  KON = Należności + Zapasy − Zobowiązania handlowe</t>
        </is>
      </c>
      <c r="B2" s="112" t="n"/>
      <c r="C2" s="112" t="n"/>
      <c r="D2" s="112" t="n"/>
      <c r="E2" s="112" t="n"/>
      <c r="F2" s="112" t="n"/>
    </row>
    <row r="3" ht="18" customHeight="1" s="109">
      <c r="A3" s="130" t="n"/>
      <c r="B3" s="130" t="n"/>
      <c r="C3" s="134" t="inlineStr">
        <is>
          <t>2024</t>
        </is>
      </c>
      <c r="D3" s="134" t="inlineStr">
        <is>
          <t>2025</t>
        </is>
      </c>
      <c r="E3" s="130" t="n"/>
      <c r="F3" s="130" t="n"/>
    </row>
    <row r="4" ht="21.75" customHeight="1" s="109">
      <c r="A4" s="135" t="inlineStr">
        <is>
          <t>Należności handlowe</t>
        </is>
      </c>
      <c r="C4" s="145">
        <f>'01_Source_Data'!C15</f>
        <v/>
      </c>
      <c r="D4" s="145">
        <f>'01_Source_Data'!D15</f>
        <v/>
      </c>
    </row>
    <row r="5" ht="21.75" customHeight="1" s="109">
      <c r="A5" s="135" t="inlineStr">
        <is>
          <t>Zapasy</t>
        </is>
      </c>
      <c r="C5" s="145">
        <f>'01_Source_Data'!C14</f>
        <v/>
      </c>
      <c r="D5" s="145">
        <f>'01_Source_Data'!D14</f>
        <v/>
      </c>
    </row>
    <row r="6" ht="21.75" customHeight="1" s="109">
      <c r="A6" s="146" t="inlineStr">
        <is>
          <t xml:space="preserve">  − Zobowiązania handlowe</t>
        </is>
      </c>
      <c r="B6" s="130" t="n"/>
      <c r="C6" s="147">
        <f>'01_Source_Data'!C20</f>
        <v/>
      </c>
      <c r="D6" s="147">
        <f>'01_Source_Data'!D20</f>
        <v/>
      </c>
      <c r="E6" s="130" t="n"/>
      <c r="F6" s="130" t="n"/>
    </row>
    <row r="7" ht="21.75" customHeight="1" s="109">
      <c r="A7" s="138" t="inlineStr">
        <is>
          <t>KON</t>
        </is>
      </c>
      <c r="B7" s="130" t="n"/>
      <c r="C7" s="148">
        <f>C4+C5-C6</f>
        <v/>
      </c>
      <c r="D7" s="148">
        <f>D4+D5-D6</f>
        <v/>
      </c>
      <c r="E7" s="130" t="n"/>
      <c r="F7" s="130" t="n"/>
    </row>
    <row r="8" ht="9.75" customHeight="1" s="109"/>
    <row r="9" ht="21.75" customHeight="1" s="109">
      <c r="A9" s="149" t="inlineStr">
        <is>
          <t>ΔKON  (vs rok poprzedni)</t>
        </is>
      </c>
      <c r="C9" s="150">
        <f>C7-F99</f>
        <v/>
      </c>
      <c r="D9" s="151">
        <f>D7-C7</f>
        <v/>
      </c>
    </row>
    <row r="10" ht="9.75" customHeight="1" s="109"/>
    <row r="11" ht="43.5" customHeight="1" s="109">
      <c r="A11" s="144" t="inlineStr">
        <is>
          <t>INSIGHT  ·  2024: KON wzrósł do 15 629 (+5 223 vs 2023). Główny driver: zapasy +5 046. Gotówka zamrożona w magazynie.  2025: KON spada do 13 439 (−2 190). Zapasy ↓ +1 463, DPO ↑ +1 922, DSO ↓ −1 195. Uwolnienie częściowo efektem tańszego surowca PE, nie tylko zarządzania.</t>
        </is>
      </c>
    </row>
    <row r="99" ht="15" customHeight="1" s="109">
      <c r="F99" s="152">
        <f>'01_Source_Data'!B15+'01_Source_Data'!B14-'01_Source_Data'!B20</f>
        <v/>
      </c>
    </row>
  </sheetData>
  <mergeCells count="3">
    <mergeCell ref="A2:F2"/>
    <mergeCell ref="A11:F11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08" min="1" max="1"/>
    <col width="2" customWidth="1" style="108" min="2" max="2"/>
    <col width="18" customWidth="1" style="108" min="3" max="4"/>
    <col width="2" customWidth="1" style="108" min="5" max="5"/>
    <col width="32" customWidth="1" style="108" min="6" max="6"/>
  </cols>
  <sheetData>
    <row r="1" ht="31.5" customHeight="1" s="109">
      <c r="A1" s="132" t="inlineStr">
        <is>
          <t>CASH FLOW SALES  —  Mechanizm gotówki ze sprzedaży</t>
        </is>
      </c>
    </row>
    <row r="2" ht="13.5" customHeight="1" s="109">
      <c r="A2" s="133" t="inlineStr">
        <is>
          <t>tys. zł  |  Wzór: CFS = EBIT − ΔKON</t>
        </is>
      </c>
      <c r="B2" s="112" t="n"/>
      <c r="C2" s="112" t="n"/>
      <c r="D2" s="112" t="n"/>
      <c r="E2" s="112" t="n"/>
      <c r="F2" s="112" t="n"/>
    </row>
    <row r="3" ht="18" customHeight="1" s="109">
      <c r="A3" s="130" t="n"/>
      <c r="B3" s="130" t="n"/>
      <c r="C3" s="134" t="inlineStr">
        <is>
          <t>2024</t>
        </is>
      </c>
      <c r="D3" s="134" t="inlineStr">
        <is>
          <t>2025</t>
        </is>
      </c>
      <c r="E3" s="130" t="n"/>
      <c r="F3" s="130" t="n"/>
    </row>
    <row r="4" ht="21.75" customHeight="1" s="109">
      <c r="A4" s="135" t="inlineStr">
        <is>
          <t>EBIT</t>
        </is>
      </c>
      <c r="C4" s="137">
        <f>'01_Source_Data'!C8</f>
        <v/>
      </c>
      <c r="D4" s="136">
        <f>'01_Source_Data'!D8</f>
        <v/>
      </c>
    </row>
    <row r="5" ht="21.75" customHeight="1" s="109">
      <c r="A5" s="146" t="inlineStr">
        <is>
          <t xml:space="preserve">  − ΔKON  (zmiana kapitału obrotowego)</t>
        </is>
      </c>
      <c r="B5" s="130" t="n"/>
      <c r="C5" s="153">
        <f>Working_Capital!C8</f>
        <v/>
      </c>
      <c r="D5" s="154">
        <f>Working_Capital!D8</f>
        <v/>
      </c>
      <c r="E5" s="130" t="n"/>
      <c r="F5" s="130" t="n"/>
    </row>
    <row r="6" ht="27.75" customHeight="1" s="109">
      <c r="A6" s="155" t="inlineStr">
        <is>
          <t>CASH FLOW SALES</t>
        </is>
      </c>
      <c r="B6" s="122" t="n"/>
      <c r="C6" s="156">
        <f>C4-C5</f>
        <v/>
      </c>
      <c r="D6" s="157">
        <f>D4-D5</f>
        <v/>
      </c>
      <c r="E6" s="122" t="n"/>
      <c r="F6" s="122" t="n"/>
    </row>
    <row r="7" ht="9.75" customHeight="1" s="109"/>
    <row r="8" ht="21.75" customHeight="1" s="109">
      <c r="A8" s="127" t="inlineStr">
        <is>
          <t>CFS Margin (CFS / Przychody)</t>
        </is>
      </c>
      <c r="C8" s="158">
        <f>IF('01_Source_Data'!C5=0,"n/d",C6/'01_Source_Data'!C5)</f>
        <v/>
      </c>
      <c r="D8" s="158">
        <f>IF('01_Source_Data'!D5=0,"n/d",D6/'01_Source_Data'!D5)</f>
        <v/>
      </c>
    </row>
    <row r="9" ht="9.75" customHeight="1" s="109"/>
    <row r="10" ht="15.75" customHeight="1" s="109">
      <c r="A10" s="159" t="inlineStr">
        <is>
          <t>2024  DRIVER</t>
        </is>
      </c>
      <c r="D10" s="160" t="inlineStr">
        <is>
          <t>2025  DRIVER</t>
        </is>
      </c>
    </row>
    <row r="11" ht="18" customHeight="1" s="109">
      <c r="A11" s="124" t="inlineStr">
        <is>
          <t>EBIT:  −821 (słaba marża)</t>
        </is>
      </c>
      <c r="D11" s="126" t="inlineStr">
        <is>
          <t>EBIT:  +552</t>
        </is>
      </c>
    </row>
    <row r="12" ht="18" customHeight="1" s="109">
      <c r="A12" s="124" t="inlineStr">
        <is>
          <t>ΔKON:  +5 223 (zapasy ↑)</t>
        </is>
      </c>
      <c r="D12" s="126" t="inlineStr">
        <is>
          <t>ΔKON:  −2 190 (zapasy ↓ + DPO ↑)</t>
        </is>
      </c>
    </row>
    <row r="13" ht="18" customHeight="1" s="109">
      <c r="A13" s="124" t="inlineStr">
        <is>
          <t>→ gotówka zamrożona</t>
        </is>
      </c>
      <c r="D13" s="126" t="inlineStr">
        <is>
          <t>→ uwolnienie KON</t>
        </is>
      </c>
    </row>
    <row r="14" ht="9.75" customHeight="1" s="109"/>
    <row r="15" ht="43.5" customHeight="1" s="109">
      <c r="A15" s="144" t="inlineStr">
        <is>
          <t>INSIGHT  ·  2024: mimo tylko −0.8 mln EBIT, Cash Flow Sales wyniósł −6.0 mln. KON pochłonął o 5.2 mln więcej niż EBIT był w stanie wyprodukować.  2025: uwolnienie KON o 2.2 mln + skromny EBIT = CFS +2.7 mln. Poprawa jest realna, ale krucha — bez poprawy marży nie będzie trwała.</t>
        </is>
      </c>
    </row>
  </sheetData>
  <mergeCells count="11">
    <mergeCell ref="A10:C10"/>
    <mergeCell ref="A2:F2"/>
    <mergeCell ref="A13:C13"/>
    <mergeCell ref="D11:F11"/>
    <mergeCell ref="A11:C11"/>
    <mergeCell ref="D13:F13"/>
    <mergeCell ref="A1:F1"/>
    <mergeCell ref="D12:F12"/>
    <mergeCell ref="A12:C12"/>
    <mergeCell ref="A15:F15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8" min="1" max="1"/>
    <col width="2" customWidth="1" style="108" min="2" max="2"/>
    <col width="14" customWidth="1" style="108" min="3" max="4"/>
    <col width="12" customWidth="1" style="108" min="5" max="5"/>
    <col width="10" customWidth="1" style="108" min="6" max="6"/>
    <col width="30" customWidth="1" style="108" min="7" max="7"/>
  </cols>
  <sheetData>
    <row r="1" ht="31.5" customHeight="1" s="109">
      <c r="A1" s="132" t="inlineStr">
        <is>
          <t>CASH CONVERSION CYCLE  —  DSO / DIO / DPO / CCC</t>
        </is>
      </c>
    </row>
    <row r="2" ht="13.5" customHeight="1" s="109">
      <c r="A2" s="133" t="inlineStr">
        <is>
          <t>dni  |  Cel: minimalizacja CCC przy zachowaniu relacji z klientami i dostawcami</t>
        </is>
      </c>
      <c r="B2" s="112" t="n"/>
      <c r="C2" s="112" t="n"/>
      <c r="D2" s="112" t="n"/>
      <c r="E2" s="112" t="n"/>
      <c r="F2" s="112" t="n"/>
      <c r="G2" s="112" t="n"/>
    </row>
    <row r="3" ht="18" customHeight="1" s="109">
      <c r="A3" s="130" t="n"/>
      <c r="B3" s="130" t="n"/>
      <c r="C3" s="134" t="inlineStr">
        <is>
          <t>2024</t>
        </is>
      </c>
      <c r="D3" s="134" t="inlineStr">
        <is>
          <t>2025</t>
        </is>
      </c>
      <c r="E3" s="134" t="inlineStr">
        <is>
          <t>Δ 24→25</t>
        </is>
      </c>
      <c r="F3" s="134" t="inlineStr">
        <is>
          <t>Flaga</t>
        </is>
      </c>
      <c r="G3" s="130" t="n"/>
    </row>
    <row r="4" ht="25.5" customHeight="1" s="109">
      <c r="A4" s="146" t="inlineStr">
        <is>
          <t>DSO  =  Należności / Przychody × 365</t>
        </is>
      </c>
      <c r="B4" s="130" t="n"/>
      <c r="C4" s="161">
        <f>IF('01_Source_Data'!C5=0,"n/d",'01_Source_Data'!C15/'01_Source_Data'!C5*365)</f>
        <v/>
      </c>
      <c r="D4" s="161">
        <f>IF('01_Source_Data'!D5=0,"n/d",'01_Source_Data'!D15/'01_Source_Data'!D5*365)</f>
        <v/>
      </c>
      <c r="E4" s="162">
        <f>IF(OR(C4="n/d",D4="n/d"),"n/d",D4-C4)</f>
        <v/>
      </c>
      <c r="F4" s="163" t="inlineStr">
        <is>
          <t>🔴</t>
        </is>
      </c>
      <c r="G4" s="164" t="inlineStr">
        <is>
          <t>rośnie → ERG finansuje klientów dłużej</t>
        </is>
      </c>
    </row>
    <row r="5" ht="25.5" customHeight="1" s="109">
      <c r="A5" s="146" t="inlineStr">
        <is>
          <t>DIO  =  Zapasy / COGS × 365</t>
        </is>
      </c>
      <c r="B5" s="130" t="n"/>
      <c r="C5" s="165">
        <f>IF('01_Source_Data'!C6=0,"n/d",'01_Source_Data'!C14/'01_Source_Data'!C6*365)</f>
        <v/>
      </c>
      <c r="D5" s="165">
        <f>IF('01_Source_Data'!D6=0,"n/d",'01_Source_Data'!D14/'01_Source_Data'!D6*365)</f>
        <v/>
      </c>
      <c r="E5" s="166">
        <f>IF(OR(C5="n/d",D5="n/d"),"n/d",D5-C5)</f>
        <v/>
      </c>
      <c r="F5" s="163" t="inlineStr">
        <is>
          <t>🟢</t>
        </is>
      </c>
      <c r="G5" s="164" t="inlineStr">
        <is>
          <t>spada → mniej gotówki zamrożonej w magazynie</t>
        </is>
      </c>
    </row>
    <row r="6" ht="25.5" customHeight="1" s="109">
      <c r="A6" s="146" t="inlineStr">
        <is>
          <t>DPO  =  Zob. handlowe / COGS × 365</t>
        </is>
      </c>
      <c r="B6" s="130" t="n"/>
      <c r="C6" s="165">
        <f>IF('01_Source_Data'!C6=0,"n/d",'01_Source_Data'!C20/'01_Source_Data'!C6*365)</f>
        <v/>
      </c>
      <c r="D6" s="165">
        <f>IF('01_Source_Data'!D6=0,"n/d",'01_Source_Data'!D20/'01_Source_Data'!D6*365)</f>
        <v/>
      </c>
      <c r="E6" s="166">
        <f>IF(OR(C6="n/d",D6="n/d"),"n/d",D6-C6)</f>
        <v/>
      </c>
      <c r="F6" s="163" t="inlineStr">
        <is>
          <t>🟢</t>
        </is>
      </c>
      <c r="G6" s="164" t="inlineStr">
        <is>
          <t>rośnie → dostawcy finansują biznes</t>
        </is>
      </c>
    </row>
    <row r="7" ht="6" customHeight="1" s="109">
      <c r="A7" s="130" t="n"/>
      <c r="B7" s="130" t="n"/>
      <c r="C7" s="130" t="n"/>
      <c r="D7" s="130" t="n"/>
      <c r="E7" s="130" t="n"/>
      <c r="F7" s="130" t="n"/>
      <c r="G7" s="130" t="n"/>
    </row>
    <row r="8" ht="27.75" customHeight="1" s="109">
      <c r="A8" s="155" t="inlineStr">
        <is>
          <t>CCC  =  DSO + DIO − DPO</t>
        </is>
      </c>
      <c r="B8" s="122" t="n"/>
      <c r="C8" s="167">
        <f>IF(OR(C4="n/d",C5="n/d",C6="n/d"),"n/d",C4+C5-C6)</f>
        <v/>
      </c>
      <c r="D8" s="167">
        <f>IF(OR(D4="n/d",D5="n/d",D6="n/d"),"n/d",D4+D5-D6)</f>
        <v/>
      </c>
      <c r="E8" s="168">
        <f>IF(OR(C8="n/d",D8="n/d"),"n/d",D8-C8)</f>
        <v/>
      </c>
      <c r="F8" s="169" t="inlineStr">
        <is>
          <t>🟢</t>
        </is>
      </c>
      <c r="G8" s="122" t="n"/>
    </row>
    <row r="9" ht="9.75" customHeight="1" s="109"/>
    <row r="10" ht="43.5" customHeight="1" s="109">
      <c r="A10" s="144" t="inlineStr">
        <is>
          <t>INSIGHT  ·  CCC 2024 = 83 dni → 2025 = 68 dni (−15 dni).  DIO: −9 dni (zapasy częściowo tańsze przez spadek cen PE).  DPO: +11 dni (dostawcy finansują więcej).  DSO: +5 dni (należy monitorować — ryzyko 2026).</t>
        </is>
      </c>
    </row>
  </sheetData>
  <mergeCells count="3">
    <mergeCell ref="A2:G2"/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08" min="1" max="1"/>
    <col width="2" customWidth="1" style="108" min="2" max="2"/>
    <col width="14" customWidth="1" style="108" min="3" max="7"/>
    <col width="28" customWidth="1" style="108" min="8" max="8"/>
  </cols>
  <sheetData>
    <row r="1" ht="31.5" customHeight="1" s="109">
      <c r="A1" s="132" t="inlineStr">
        <is>
          <t>PROFITABILITY  —  Marże i Trend</t>
        </is>
      </c>
    </row>
    <row r="2" ht="13.5" customHeight="1" s="109">
      <c r="A2" s="133" t="inlineStr">
        <is>
          <t>tys. zł  |  YoY = zmiana rok do roku  |  pp = punkty procentowe</t>
        </is>
      </c>
      <c r="B2" s="112" t="n"/>
      <c r="C2" s="112" t="n"/>
      <c r="D2" s="112" t="n"/>
      <c r="E2" s="112" t="n"/>
      <c r="F2" s="112" t="n"/>
      <c r="G2" s="112" t="n"/>
      <c r="H2" s="112" t="n"/>
    </row>
    <row r="3" ht="18" customHeight="1" s="109">
      <c r="A3" s="130" t="n"/>
      <c r="B3" s="130" t="n"/>
      <c r="C3" s="134" t="inlineStr">
        <is>
          <t>2023</t>
        </is>
      </c>
      <c r="D3" s="134" t="inlineStr">
        <is>
          <t>2024</t>
        </is>
      </c>
      <c r="E3" s="134" t="inlineStr">
        <is>
          <t>2025</t>
        </is>
      </c>
      <c r="F3" s="134" t="inlineStr">
        <is>
          <t>2024 YoY</t>
        </is>
      </c>
      <c r="G3" s="134" t="inlineStr">
        <is>
          <t>2025 YoY</t>
        </is>
      </c>
      <c r="H3" s="130" t="n"/>
    </row>
    <row r="4" ht="15.75" customHeight="1" s="109">
      <c r="A4" s="113" t="inlineStr">
        <is>
          <t>WARTOŚCI BEZWZGLĘDNE</t>
        </is>
      </c>
    </row>
    <row r="5" ht="21.75" customHeight="1" s="109">
      <c r="A5" s="146" t="inlineStr">
        <is>
          <t>Przychody</t>
        </is>
      </c>
      <c r="B5" s="130" t="n"/>
      <c r="C5" s="154">
        <f>'01_Source_Data'!B5</f>
        <v/>
      </c>
      <c r="D5" s="153">
        <f>'01_Source_Data'!C5</f>
        <v/>
      </c>
      <c r="E5" s="154">
        <f>'01_Source_Data'!D5</f>
        <v/>
      </c>
      <c r="F5" s="170">
        <f>IF(OR(C5=0,C5=""),"n/d",(D5-C5)/C5)</f>
        <v/>
      </c>
      <c r="G5" s="170">
        <f>IF(OR(D5=0,D5=""),"n/d",(E5-D5)/D5)</f>
        <v/>
      </c>
      <c r="H5" s="164" t="n"/>
    </row>
    <row r="6" ht="21.75" customHeight="1" s="109">
      <c r="A6" s="146" t="inlineStr">
        <is>
          <t>COGS</t>
        </is>
      </c>
      <c r="B6" s="130" t="n"/>
      <c r="C6" s="153">
        <f>'01_Source_Data'!B6</f>
        <v/>
      </c>
      <c r="D6" s="153">
        <f>'01_Source_Data'!C6</f>
        <v/>
      </c>
      <c r="E6" s="153">
        <f>'01_Source_Data'!D6</f>
        <v/>
      </c>
      <c r="F6" s="170">
        <f>IF(OR(C6=0,C6=""),"n/d",(D6-C6)/C6)</f>
        <v/>
      </c>
      <c r="G6" s="170">
        <f>IF(OR(D6=0,D6=""),"n/d",(E6-D6)/D6)</f>
        <v/>
      </c>
      <c r="H6" s="164" t="inlineStr">
        <is>
          <t>Rośnie szybciej niż przychody ❌</t>
        </is>
      </c>
    </row>
    <row r="7" ht="21.75" customHeight="1" s="109">
      <c r="A7" s="138" t="inlineStr">
        <is>
          <t>EBITDA</t>
        </is>
      </c>
      <c r="B7" s="130" t="n"/>
      <c r="C7" s="139">
        <f>'01_Source_Data'!B10</f>
        <v/>
      </c>
      <c r="D7" s="140">
        <f>'01_Source_Data'!C10</f>
        <v/>
      </c>
      <c r="E7" s="139">
        <f>'01_Source_Data'!D10</f>
        <v/>
      </c>
      <c r="F7" s="170">
        <f>IF(OR(C7=0,C7=""),"n/d",(D7-C7)/C7)</f>
        <v/>
      </c>
      <c r="G7" s="170">
        <f>IF(OR(D7=0,D7=""),"n/d",(E7-D7)/D7)</f>
        <v/>
      </c>
      <c r="H7" s="164" t="inlineStr">
        <is>
          <t>Kluczowy wskaźnik producenta</t>
        </is>
      </c>
    </row>
    <row r="8" ht="21.75" customHeight="1" s="109">
      <c r="A8" s="146" t="inlineStr">
        <is>
          <t>EBIT</t>
        </is>
      </c>
      <c r="B8" s="130" t="n"/>
      <c r="C8" s="154">
        <f>'01_Source_Data'!B8</f>
        <v/>
      </c>
      <c r="D8" s="153">
        <f>'01_Source_Data'!C8</f>
        <v/>
      </c>
      <c r="E8" s="154">
        <f>'01_Source_Data'!D8</f>
        <v/>
      </c>
      <c r="F8" s="170">
        <f>IF(OR(C8=0,C8=""),"n/d",(D8-C8)/C8)</f>
        <v/>
      </c>
      <c r="G8" s="170">
        <f>IF(OR(D8=0,D8=""),"n/d",(E8-D8)/D8)</f>
        <v/>
      </c>
      <c r="H8" s="164" t="n"/>
    </row>
    <row r="9" ht="21.75" customHeight="1" s="109">
      <c r="A9" s="146" t="inlineStr">
        <is>
          <t>Zysk netto</t>
        </is>
      </c>
      <c r="B9" s="130" t="n"/>
      <c r="C9" s="154">
        <f>'01_Source_Data'!B11</f>
        <v/>
      </c>
      <c r="D9" s="153">
        <f>'01_Source_Data'!C11</f>
        <v/>
      </c>
      <c r="E9" s="153">
        <f>'01_Source_Data'!D11</f>
        <v/>
      </c>
      <c r="F9" s="170">
        <f>IF(OR(C9=0,C9=""),"n/d",(D9-C9)/C9)</f>
        <v/>
      </c>
      <c r="G9" s="170">
        <f>IF(OR(D9=0,D9=""),"n/d",(E9-D9)/D9)</f>
        <v/>
      </c>
      <c r="H9" s="164" t="inlineStr">
        <is>
          <t>Blisko zera 2024–2025</t>
        </is>
      </c>
    </row>
    <row r="10" ht="9.75" customHeight="1" s="109"/>
    <row r="11" ht="15.75" customHeight="1" s="109">
      <c r="A11" s="113" t="inlineStr">
        <is>
          <t>MARŻE  (% PRZYCHODÓW)</t>
        </is>
      </c>
    </row>
    <row r="12" ht="21.75" customHeight="1" s="109">
      <c r="A12" s="146" t="inlineStr">
        <is>
          <t>COGS %</t>
        </is>
      </c>
      <c r="B12" s="130" t="n"/>
      <c r="C12" s="171">
        <f>IF('01_Source_Data'!B5=0,"n/d",'01_Source_Data'!B6/'01_Source_Data'!B5)</f>
        <v/>
      </c>
      <c r="D12" s="171">
        <f>IF('01_Source_Data'!C5=0,"n/d",'01_Source_Data'!C6/'01_Source_Data'!C5)</f>
        <v/>
      </c>
      <c r="E12" s="171">
        <f>IF('01_Source_Data'!D5=0,"n/d",'01_Source_Data'!D6/'01_Source_Data'!D5)</f>
        <v/>
      </c>
      <c r="F12" s="172">
        <f>IF(OR(C12="n/d",D12="n/d"),"n/d",D12-C12)</f>
        <v/>
      </c>
      <c r="G12" s="172">
        <f>IF(OR(D12="n/d",E12="n/d"),"n/d",E12-D12)</f>
        <v/>
      </c>
      <c r="H12" s="164" t="inlineStr">
        <is>
          <t>80.7% → 85.9% → 86.4%  ↑↑  Główne ryzyko</t>
        </is>
      </c>
    </row>
    <row r="13" ht="21.75" customHeight="1" s="109">
      <c r="A13" s="146" t="inlineStr">
        <is>
          <t>EBITDA %</t>
        </is>
      </c>
      <c r="B13" s="130" t="n"/>
      <c r="C13" s="173">
        <f>IF('01_Source_Data'!B5=0,"n/d",'01_Source_Data'!B10/'01_Source_Data'!B5)</f>
        <v/>
      </c>
      <c r="D13" s="173">
        <f>IF('01_Source_Data'!C5=0,"n/d",'01_Source_Data'!C10/'01_Source_Data'!C5)</f>
        <v/>
      </c>
      <c r="E13" s="173">
        <f>IF('01_Source_Data'!D5=0,"n/d",'01_Source_Data'!D10/'01_Source_Data'!D5)</f>
        <v/>
      </c>
      <c r="F13" s="172">
        <f>IF(OR(C13="n/d",D13="n/d"),"n/d",D13-C13)</f>
        <v/>
      </c>
      <c r="G13" s="172">
        <f>IF(OR(D13="n/d",E13="n/d"),"n/d",E13-D13)</f>
        <v/>
      </c>
      <c r="H13" s="164" t="inlineStr">
        <is>
          <t>9.3% → 5.2% → 6.8%  Częściowe odbicie</t>
        </is>
      </c>
    </row>
    <row r="14" ht="21.75" customHeight="1" s="109">
      <c r="A14" s="146" t="inlineStr">
        <is>
          <t>EBIT %</t>
        </is>
      </c>
      <c r="B14" s="130" t="n"/>
      <c r="C14" s="173">
        <f>IF('01_Source_Data'!B5=0,"n/d",'01_Source_Data'!B8/'01_Source_Data'!B5)</f>
        <v/>
      </c>
      <c r="D14" s="173">
        <f>IF('01_Source_Data'!C5=0,"n/d",'01_Source_Data'!C8/'01_Source_Data'!C5)</f>
        <v/>
      </c>
      <c r="E14" s="173">
        <f>IF('01_Source_Data'!D5=0,"n/d",'01_Source_Data'!D8/'01_Source_Data'!D5)</f>
        <v/>
      </c>
      <c r="F14" s="172">
        <f>IF(OR(C14="n/d",D14="n/d"),"n/d",D14-C14)</f>
        <v/>
      </c>
      <c r="G14" s="172">
        <f>IF(OR(D14="n/d",E14="n/d"),"n/d",E14-D14)</f>
        <v/>
      </c>
      <c r="H14" s="164" t="inlineStr">
        <is>
          <t>4.2% → −1.1% → +0.7%</t>
        </is>
      </c>
    </row>
    <row r="15" ht="21.75" customHeight="1" s="109">
      <c r="A15" s="146" t="inlineStr">
        <is>
          <t>Net margin</t>
        </is>
      </c>
      <c r="B15" s="130" t="n"/>
      <c r="C15" s="171">
        <f>IF('01_Source_Data'!B5=0,"n/d",'01_Source_Data'!B11/'01_Source_Data'!B5)</f>
        <v/>
      </c>
      <c r="D15" s="171">
        <f>IF('01_Source_Data'!C5=0,"n/d",'01_Source_Data'!C11/'01_Source_Data'!C5)</f>
        <v/>
      </c>
      <c r="E15" s="171">
        <f>IF('01_Source_Data'!D5=0,"n/d",'01_Source_Data'!D11/'01_Source_Data'!D5)</f>
        <v/>
      </c>
      <c r="F15" s="172">
        <f>IF(OR(C15="n/d",D15="n/d"),"n/d",D15-C15)</f>
        <v/>
      </c>
      <c r="G15" s="172">
        <f>IF(OR(D15="n/d",E15="n/d"),"n/d",E15-D15)</f>
        <v/>
      </c>
      <c r="H15" s="164" t="inlineStr">
        <is>
          <t>3.4% → −0.9% → −0.1%  Brak rentowności</t>
        </is>
      </c>
    </row>
    <row r="16" ht="9.75" customHeight="1" s="109"/>
    <row r="17" ht="43.5" customHeight="1" s="109">
      <c r="A17" s="144" t="inlineStr">
        <is>
          <t>INSIGHT  ·  Operating leverage zadziałał negatywnie w 2024: przychody −22%, EBITDA −56%. Koszty nie dostosowały się do spadku wolumenów.  2025: wolumen +3.3%, przychody +1.0% → cena/tonę spada. COGS% nadal rośnie. Bez podniesienia cen lub cięcia kosztów poprawa jest tymczasowa.</t>
        </is>
      </c>
    </row>
  </sheetData>
  <mergeCells count="5">
    <mergeCell ref="A4:H4"/>
    <mergeCell ref="A2:H2"/>
    <mergeCell ref="A11:H11"/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8" min="1" max="1"/>
    <col width="2" customWidth="1" style="108" min="2" max="2"/>
    <col width="14" customWidth="1" style="108" min="3" max="5"/>
    <col width="12" customWidth="1" style="108" min="6" max="6"/>
    <col width="28" customWidth="1" style="108" min="7" max="7"/>
  </cols>
  <sheetData>
    <row r="1" ht="31.5" customHeight="1" s="109">
      <c r="A1" s="132" t="inlineStr">
        <is>
          <t>LIQUIDITY &amp; DEBT  —  Bezpieczeństwo finansowe</t>
        </is>
      </c>
    </row>
    <row r="2" ht="13.5" customHeight="1" s="109">
      <c r="A2" s="174" t="inlineStr">
        <is>
          <t>Wnioski: ERG nie ma problemu finansowego. Problem jest operacyjny.</t>
        </is>
      </c>
      <c r="B2" s="112" t="n"/>
      <c r="C2" s="112" t="n"/>
      <c r="D2" s="112" t="n"/>
      <c r="E2" s="112" t="n"/>
      <c r="F2" s="112" t="n"/>
      <c r="G2" s="112" t="n"/>
    </row>
    <row r="3" ht="18" customHeight="1" s="109">
      <c r="A3" s="130" t="n"/>
      <c r="B3" s="130" t="n"/>
      <c r="C3" s="134" t="inlineStr">
        <is>
          <t>2023</t>
        </is>
      </c>
      <c r="D3" s="134" t="inlineStr">
        <is>
          <t>2024</t>
        </is>
      </c>
      <c r="E3" s="134" t="inlineStr">
        <is>
          <t>2025</t>
        </is>
      </c>
      <c r="F3" s="134" t="inlineStr">
        <is>
          <t>Wzorzec</t>
        </is>
      </c>
      <c r="G3" s="130" t="n"/>
    </row>
    <row r="4" ht="15.75" customHeight="1" s="109">
      <c r="A4" s="113" t="inlineStr">
        <is>
          <t>PŁYNNOŚĆ</t>
        </is>
      </c>
    </row>
    <row r="5" ht="21.75" customHeight="1" s="109">
      <c r="A5" s="146" t="inlineStr">
        <is>
          <t>Current Ratio</t>
        </is>
      </c>
      <c r="B5" s="130" t="n"/>
      <c r="C5" s="175">
        <f>'01_Source_Data'!B13/'01_Source_Data'!B19</f>
        <v/>
      </c>
      <c r="D5" s="175">
        <f>'01_Source_Data'!C13/'01_Source_Data'!C19</f>
        <v/>
      </c>
      <c r="E5" s="175">
        <f>'01_Source_Data'!D13/'01_Source_Data'!D19</f>
        <v/>
      </c>
      <c r="F5" s="176" t="inlineStr">
        <is>
          <t>&gt;1.5x</t>
        </is>
      </c>
      <c r="G5" s="130" t="n"/>
    </row>
    <row r="6" ht="21.75" customHeight="1" s="109">
      <c r="A6" s="146" t="inlineStr">
        <is>
          <t>Quick Ratio</t>
        </is>
      </c>
      <c r="B6" s="130" t="n"/>
      <c r="C6" s="177">
        <f>('01_Source_Data'!B13-'01_Source_Data'!B14)/'01_Source_Data'!B19</f>
        <v/>
      </c>
      <c r="D6" s="177">
        <f>('01_Source_Data'!C13-'01_Source_Data'!C14)/'01_Source_Data'!C19</f>
        <v/>
      </c>
      <c r="E6" s="177">
        <f>('01_Source_Data'!D13-'01_Source_Data'!D14)/'01_Source_Data'!D19</f>
        <v/>
      </c>
      <c r="F6" s="176" t="inlineStr">
        <is>
          <t>&gt;1.0x</t>
        </is>
      </c>
      <c r="G6" s="130" t="n"/>
    </row>
    <row r="7" ht="21.75" customHeight="1" s="109">
      <c r="A7" s="146" t="inlineStr">
        <is>
          <t>Cash Ratio</t>
        </is>
      </c>
      <c r="B7" s="130" t="n"/>
      <c r="C7" s="177">
        <f>IF('01_Source_Data'!B16="","n/d",'01_Source_Data'!B16/'01_Source_Data'!B19)</f>
        <v/>
      </c>
      <c r="D7" s="177">
        <f>IF('01_Source_Data'!C16="","n/d",'01_Source_Data'!C16/'01_Source_Data'!C19)</f>
        <v/>
      </c>
      <c r="E7" s="177">
        <f>IF('01_Source_Data'!D16="","n/d",'01_Source_Data'!D16/'01_Source_Data'!D19)</f>
        <v/>
      </c>
      <c r="F7" s="176" t="inlineStr">
        <is>
          <t>&gt;0.2x</t>
        </is>
      </c>
      <c r="G7" s="130" t="n"/>
    </row>
    <row r="8" ht="6" customHeight="1" s="109"/>
    <row r="9" ht="15.75" customHeight="1" s="109">
      <c r="A9" s="113" t="inlineStr">
        <is>
          <t>ZADŁUŻENIE</t>
        </is>
      </c>
    </row>
    <row r="10" ht="21.75" customHeight="1" s="109">
      <c r="A10" s="146" t="inlineStr">
        <is>
          <t>Debt to Equity</t>
        </is>
      </c>
      <c r="B10" s="130" t="n"/>
      <c r="C10" s="175">
        <f>'01_Source_Data'!B18/'01_Source_Data'!B21</f>
        <v/>
      </c>
      <c r="D10" s="175">
        <f>'01_Source_Data'!C18/'01_Source_Data'!C21</f>
        <v/>
      </c>
      <c r="E10" s="175">
        <f>'01_Source_Data'!D18/'01_Source_Data'!D21</f>
        <v/>
      </c>
      <c r="F10" s="176" t="inlineStr">
        <is>
          <t>&lt;1.0x</t>
        </is>
      </c>
      <c r="G10" s="130" t="n"/>
    </row>
    <row r="11" ht="21.75" customHeight="1" s="109">
      <c r="A11" s="146" t="inlineStr">
        <is>
          <t>Debt to Assets</t>
        </is>
      </c>
      <c r="B11" s="130" t="n"/>
      <c r="C11" s="175">
        <f>'01_Source_Data'!B18/'01_Source_Data'!B17</f>
        <v/>
      </c>
      <c r="D11" s="175">
        <f>'01_Source_Data'!C18/'01_Source_Data'!C17</f>
        <v/>
      </c>
      <c r="E11" s="175">
        <f>'01_Source_Data'!D18/'01_Source_Data'!D17</f>
        <v/>
      </c>
      <c r="F11" s="176" t="inlineStr">
        <is>
          <t>&lt;0.6</t>
        </is>
      </c>
      <c r="G11" s="130" t="n"/>
    </row>
    <row r="12" ht="6" customHeight="1" s="109"/>
    <row r="13" ht="15.75" customHeight="1" s="109">
      <c r="A13" s="113" t="inlineStr">
        <is>
          <t>RENTOWNOŚĆ</t>
        </is>
      </c>
    </row>
    <row r="14" ht="21.75" customHeight="1" s="109">
      <c r="A14" s="146" t="inlineStr">
        <is>
          <t>ROA</t>
        </is>
      </c>
      <c r="B14" s="130" t="n"/>
      <c r="C14" s="178">
        <f>'01_Source_Data'!B11/'01_Source_Data'!B17</f>
        <v/>
      </c>
      <c r="D14" s="178">
        <f>'01_Source_Data'!C11/'01_Source_Data'!C17</f>
        <v/>
      </c>
      <c r="E14" s="178">
        <f>'01_Source_Data'!D11/'01_Source_Data'!D17</f>
        <v/>
      </c>
      <c r="F14" s="176" t="inlineStr">
        <is>
          <t>&gt;5%</t>
        </is>
      </c>
      <c r="G14" s="130" t="n"/>
    </row>
    <row r="15" ht="21.75" customHeight="1" s="109">
      <c r="A15" s="146" t="inlineStr">
        <is>
          <t>ROE</t>
        </is>
      </c>
      <c r="B15" s="130" t="n"/>
      <c r="C15" s="178">
        <f>'01_Source_Data'!B11/'01_Source_Data'!B21</f>
        <v/>
      </c>
      <c r="D15" s="178">
        <f>'01_Source_Data'!C11/'01_Source_Data'!C21</f>
        <v/>
      </c>
      <c r="E15" s="178">
        <f>'01_Source_Data'!D11/'01_Source_Data'!D21</f>
        <v/>
      </c>
      <c r="F15" s="176" t="inlineStr">
        <is>
          <t>&gt;10%</t>
        </is>
      </c>
      <c r="G15" s="130" t="n"/>
    </row>
    <row r="16" ht="21.75" customHeight="1" s="109">
      <c r="A16" s="146" t="inlineStr">
        <is>
          <t>Net margin</t>
        </is>
      </c>
      <c r="B16" s="130" t="n"/>
      <c r="C16" s="178">
        <f>'01_Source_Data'!B11/'01_Source_Data'!B5</f>
        <v/>
      </c>
      <c r="D16" s="178">
        <f>'01_Source_Data'!C11/'01_Source_Data'!C5</f>
        <v/>
      </c>
      <c r="E16" s="178">
        <f>'01_Source_Data'!D11/'01_Source_Data'!D5</f>
        <v/>
      </c>
      <c r="F16" s="176" t="inlineStr">
        <is>
          <t>&gt;3%</t>
        </is>
      </c>
      <c r="G16" s="130" t="n"/>
    </row>
    <row r="17" ht="6" customHeight="1" s="109"/>
    <row r="18" ht="43.5" customHeight="1" s="109">
      <c r="A18" s="144" t="inlineStr">
        <is>
          <t>INSIGHT  ·  Current Ratio rosnący (1.48→1.79) ✅.  Quick Ratio 2024 = 0.68 ❌ — płynność zależy od sprzedaży zapasów.  D/E = 0.69, D/A = 0.41 — brak presji zadłużeniowej ✅.  Problem ERG jest OPERACYJNY (marża, KON), nie FINANSOWY (dług).</t>
        </is>
      </c>
    </row>
  </sheetData>
  <mergeCells count="6">
    <mergeCell ref="A13:G13"/>
    <mergeCell ref="A1:G1"/>
    <mergeCell ref="A18:G18"/>
    <mergeCell ref="A9:G9"/>
    <mergeCell ref="A4:G4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8" min="1" max="1"/>
    <col width="2" customWidth="1" style="108" min="2" max="2"/>
    <col width="18" customWidth="1" style="108" min="3" max="4"/>
    <col width="30" customWidth="1" style="108" min="5" max="5"/>
  </cols>
  <sheetData>
    <row r="1" ht="31.5" customHeight="1" s="109">
      <c r="A1" s="132" t="inlineStr">
        <is>
          <t>CFO DRIVER BRIDGE  —  EBITDA → CFO</t>
        </is>
      </c>
    </row>
    <row r="2" ht="13.5" customHeight="1" s="109">
      <c r="A2" s="133" t="inlineStr">
        <is>
          <t>tys. zł  |  Mechanizm: skąd pochodzi gotówka operacyjna</t>
        </is>
      </c>
      <c r="B2" s="112" t="n"/>
      <c r="C2" s="112" t="n"/>
      <c r="D2" s="112" t="n"/>
      <c r="E2" s="112" t="n"/>
    </row>
    <row r="3" ht="18" customHeight="1" s="109">
      <c r="A3" s="130" t="n"/>
      <c r="B3" s="130" t="n"/>
      <c r="C3" s="134" t="inlineStr">
        <is>
          <t>2024</t>
        </is>
      </c>
      <c r="D3" s="134" t="inlineStr">
        <is>
          <t>2025</t>
        </is>
      </c>
      <c r="E3" s="130" t="n"/>
    </row>
    <row r="4" ht="25.5" customHeight="1" s="109">
      <c r="A4" s="138" t="inlineStr">
        <is>
          <t>EBITDA</t>
        </is>
      </c>
      <c r="B4" s="130" t="n"/>
      <c r="C4" s="139">
        <f>'01_Source_Data'!C10</f>
        <v/>
      </c>
      <c r="D4" s="139">
        <f>'01_Source_Data'!D10</f>
        <v/>
      </c>
      <c r="E4" s="164" t="inlineStr">
        <is>
          <t>Gotówkowa siła operacyjna</t>
        </is>
      </c>
    </row>
    <row r="5" ht="25.5" customHeight="1" s="109">
      <c r="A5" s="146" t="inlineStr">
        <is>
          <t xml:space="preserve">  + Δ Zapasy (spadek = gotówka)</t>
        </is>
      </c>
      <c r="B5" s="130" t="n"/>
      <c r="C5" s="179">
        <f>-('01_Source_Data'!C14-'01_Source_Data'!B14)</f>
        <v/>
      </c>
      <c r="D5" s="180">
        <f>-('01_Source_Data'!D14-'01_Source_Data'!C14)</f>
        <v/>
      </c>
      <c r="E5" s="164" t="inlineStr">
        <is>
          <t>2024: zapasy ↑ = absorpcja ❌ / 2025: zapasy ↓ = uwolnienie ✅</t>
        </is>
      </c>
    </row>
    <row r="6" ht="25.5" customHeight="1" s="109">
      <c r="A6" s="146" t="inlineStr">
        <is>
          <t xml:space="preserve">  + Δ Należności (spadek = gotówka)</t>
        </is>
      </c>
      <c r="B6" s="130" t="n"/>
      <c r="C6" s="180">
        <f>-('01_Source_Data'!C15-'01_Source_Data'!B15)</f>
        <v/>
      </c>
      <c r="D6" s="179">
        <f>-('01_Source_Data'!D15-'01_Source_Data'!C15)</f>
        <v/>
      </c>
      <c r="E6" s="164" t="inlineStr">
        <is>
          <t>2024: należności ↓ = ok ✅ / 2025: należności ↑ = absorpcja ❌</t>
        </is>
      </c>
    </row>
    <row r="7" ht="25.5" customHeight="1" s="109">
      <c r="A7" s="146" t="inlineStr">
        <is>
          <t xml:space="preserve">  + Δ Zob. handlowe (wzrost = gotówka)</t>
        </is>
      </c>
      <c r="B7" s="130" t="n"/>
      <c r="C7" s="179">
        <f>'01_Source_Data'!C20-'01_Source_Data'!B20</f>
        <v/>
      </c>
      <c r="D7" s="180">
        <f>'01_Source_Data'!D20-'01_Source_Data'!C20</f>
        <v/>
      </c>
      <c r="E7" s="164" t="inlineStr">
        <is>
          <t>2024: zobowiązania ↓ = absorpcja ❌ / 2025: zobowiązania ↑ = finansowanie ✅</t>
        </is>
      </c>
    </row>
    <row r="8" ht="25.5" customHeight="1" s="109">
      <c r="A8" s="181" t="inlineStr">
        <is>
          <t xml:space="preserve">  Inne korekty (podatek, odsetki, inne KON)</t>
        </is>
      </c>
      <c r="B8" s="122" t="n"/>
      <c r="C8" s="182">
        <f>'01_Source_Data'!C23-(C4+C5+C6+C7)</f>
        <v/>
      </c>
      <c r="D8" s="182">
        <f>'01_Source_Data'!D23-(D4+D5+D6+D7)</f>
        <v/>
      </c>
      <c r="E8" s="183" t="inlineStr">
        <is>
          <t>Residual: podatek CIT, odsetki, pozostałe zmiany KON</t>
        </is>
      </c>
    </row>
    <row r="9" ht="3.75" customHeight="1" s="109"/>
    <row r="10" ht="31.5" customHeight="1" s="109">
      <c r="A10" s="184" t="inlineStr">
        <is>
          <t>CFO</t>
        </is>
      </c>
      <c r="B10" s="122" t="n"/>
      <c r="C10" s="185">
        <f>'01_Source_Data'!C23</f>
        <v/>
      </c>
      <c r="D10" s="185">
        <f>'01_Source_Data'!D23</f>
        <v/>
      </c>
      <c r="E10" s="122" t="n"/>
    </row>
    <row r="11" ht="9.75" customHeight="1" s="109"/>
    <row r="12" ht="43.5" customHeight="1" s="109">
      <c r="A12" s="144" t="inlineStr">
        <is>
          <t>INSIGHT  ·  2025 Bridge: EBITDA 5 069 + zapasy +1 463 + należności −1 195 + zobowiązania +1 922 + inne ≈ CFO 6 949.  CFO pochodzi z KON (ok. +2 190 net) + EBITDA (5 069). Poprawa jest realna, ale nie wynika z poprawy marży — efekt KON + tańszy surowiec PE.</t>
        </is>
      </c>
    </row>
  </sheetData>
  <mergeCells count="3">
    <mergeCell ref="A2:E2"/>
    <mergeCell ref="A1:E1"/>
    <mergeCell ref="A12:E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8" min="1" max="1"/>
    <col width="2" customWidth="1" style="108" min="2" max="2"/>
    <col width="44" customWidth="1" style="108" min="3" max="5"/>
  </cols>
  <sheetData>
    <row r="1" ht="31.5" customHeight="1" s="109">
      <c r="A1" s="186" t="inlineStr">
        <is>
          <t>CFO STORYTELLING  —  Liczby vs Narracja zarządu</t>
        </is>
      </c>
      <c r="B1" s="112" t="n"/>
      <c r="C1" s="112" t="n"/>
      <c r="D1" s="112" t="n"/>
      <c r="E1" s="112" t="n"/>
    </row>
    <row r="2" ht="9.75" customHeight="1" s="109"/>
    <row r="3" ht="18" customHeight="1" s="109">
      <c r="A3" s="187" t="inlineStr">
        <is>
          <t>Obszar</t>
        </is>
      </c>
      <c r="B3" s="130" t="n"/>
      <c r="C3" s="187" t="inlineStr">
        <is>
          <t>Co mówią liczby</t>
        </is>
      </c>
      <c r="D3" s="187" t="inlineStr">
        <is>
          <t>Co mówi zarząd</t>
        </is>
      </c>
      <c r="E3" s="187" t="inlineStr">
        <is>
          <t>Wniosek CFO</t>
        </is>
      </c>
    </row>
    <row r="4" ht="60" customHeight="1" s="109">
      <c r="A4" s="188" t="inlineStr">
        <is>
          <t>Sprzedaż</t>
        </is>
      </c>
      <c r="B4" s="130" t="n"/>
      <c r="C4" s="189" t="inlineStr">
        <is>
          <t>94,3→73,7→74,5 mln. 2025: wolumen +3.3%, wartość +1.0% → cena/t spada.</t>
        </is>
      </c>
      <c r="D4" s="189" t="inlineStr">
        <is>
          <t>Pogorszenie koniunktury 2024. Stabilizacja 2025. Bez analizy cenowej.</t>
        </is>
      </c>
      <c r="E4" s="189" t="inlineStr">
        <is>
          <t>✅ Spójne. ⚠️ Brak wyjaśnienia presji cenowej. Efekt: więcej ton, mniej pieniędzy/t.</t>
        </is>
      </c>
    </row>
    <row r="5" ht="60" customHeight="1" s="109">
      <c r="A5" s="188" t="inlineStr">
        <is>
          <t>Marża</t>
        </is>
      </c>
      <c r="B5" s="130" t="n"/>
      <c r="C5" s="189" t="inlineStr">
        <is>
          <t>COGS%: 80.7%→85.9%→86.4%. EBITDA: 8.7→3.8→5.1 mln (−56%→+32%).</t>
        </is>
      </c>
      <c r="D5" s="189" t="inlineStr">
        <is>
          <t>Presja surowcowa (PE, energia). Bez analizy operating leverage.</t>
        </is>
      </c>
      <c r="E5" s="189" t="inlineStr">
        <is>
          <t>❌ Koszty nie dostosowały się do −22% sprzedaży. Operating leverage zadziałał negatywnie.</t>
        </is>
      </c>
    </row>
    <row r="6" ht="60" customHeight="1" s="109">
      <c r="A6" s="188" t="inlineStr">
        <is>
          <t>Zapasy / DIO</t>
        </is>
      </c>
      <c r="B6" s="130" t="n"/>
      <c r="C6" s="189" t="inlineStr">
        <is>
          <t>Zapasy: 9.3→14.3→12.8 mln. DIO: 44→82→73 dni. Wzrost 2024 = driver CFO &lt;0.</t>
        </is>
      </c>
      <c r="D6" s="189" t="inlineStr">
        <is>
          <t>Brak wyjaśnienia wzrostu i redukcji zapasów w raporcie.</t>
        </is>
      </c>
      <c r="E6" s="189" t="inlineStr">
        <is>
          <t>❌ Największy brak raportu. CFO: 5 mln zamrożone w 2024. 2025: redukcja = KON + efekt cen PE.</t>
        </is>
      </c>
    </row>
    <row r="7" ht="60" customHeight="1" s="109">
      <c r="A7" s="188" t="inlineStr">
        <is>
          <t>Należności / DSO</t>
        </is>
      </c>
      <c r="B7" s="130" t="n"/>
      <c r="C7" s="189" t="inlineStr">
        <is>
          <t>Należności: 12.6→9.2→10.4 mln. DSO: n/d→46→51 dni. Rośnie.</t>
        </is>
      </c>
      <c r="D7" s="189" t="inlineStr">
        <is>
          <t>Brak komentarza.</t>
        </is>
      </c>
      <c r="E7" s="189" t="inlineStr">
        <is>
          <t>⚠️ ERG finansuje klientów dłużej. DSO wzrostowy = ryzyko CFO 2026.</t>
        </is>
      </c>
    </row>
    <row r="8" ht="60" customHeight="1" s="109">
      <c r="A8" s="188" t="inlineStr">
        <is>
          <t>Zobowiązania / DPO</t>
        </is>
      </c>
      <c r="B8" s="130" t="n"/>
      <c r="C8" s="189" t="inlineStr">
        <is>
          <t>Zob. handlowe: 11.5→7.9→9.8 mln. DPO: n/d→45→56 dni. Wzrost 2025.</t>
        </is>
      </c>
      <c r="D8" s="189" t="inlineStr">
        <is>
          <t>Brak komentarza.</t>
        </is>
      </c>
      <c r="E8" s="189" t="inlineStr">
        <is>
          <t>✅ DPO +11 dni = dostawcy finansują +1.9 mln gotówki. Jedyny czysty pozytyw KON.</t>
        </is>
      </c>
    </row>
    <row r="9" ht="60" customHeight="1" s="109">
      <c r="A9" s="188" t="inlineStr">
        <is>
          <t>CFO vs EBITDA</t>
        </is>
      </c>
      <c r="B9" s="130" t="n"/>
      <c r="C9" s="189" t="inlineStr">
        <is>
          <t>CFO: 6.3→−1.1→6.9 mln. EBITDA: 8.7→3.8→5.1. CFO/EBITDA: 0.72→n/d→1.37x.</t>
        </is>
      </c>
      <c r="D9" s="189" t="inlineStr">
        <is>
          <t>Ogólny opis wyników. Bez rozbicia CFO na KON vs EBITDA.</t>
        </is>
      </c>
      <c r="E9" s="189" t="inlineStr">
        <is>
          <t>✅ 2025: CFO &gt; EBITDA = uwolnienie KON. ❌ Nie wynika z marży. Model żyje na KON.</t>
        </is>
      </c>
    </row>
    <row r="10" ht="60" customHeight="1" s="109">
      <c r="A10" s="188" t="inlineStr">
        <is>
          <t>Cash Flow Sales</t>
        </is>
      </c>
      <c r="B10" s="130" t="n"/>
      <c r="C10" s="189" t="inlineStr">
        <is>
          <t>CFS 2024 = −6 044. CFS 2025 = +2 742. Driver: ΔKON, nie EBIT.</t>
        </is>
      </c>
      <c r="D10" s="189" t="inlineStr">
        <is>
          <t>Brak jakiegokolwiek odniesienia do mechanizmu Cash Flow.</t>
        </is>
      </c>
      <c r="E10" s="189" t="inlineStr">
        <is>
          <t>❌ 2024: KON pochłonął 5.2 mln → CFS ujemny. ✅ 2025: uwolnienie KON → CFS +2.7 mln. Krucha poprawa.</t>
        </is>
      </c>
    </row>
    <row r="11" ht="60" customHeight="1" s="109">
      <c r="A11" s="188" t="inlineStr">
        <is>
          <t>Zadłużenie</t>
        </is>
      </c>
      <c r="B11" s="130" t="n"/>
      <c r="C11" s="189" t="inlineStr">
        <is>
          <t>D/E: 0.79→0.69. D/A: 0.44→0.41. Brak presji.</t>
        </is>
      </c>
      <c r="D11" s="189" t="inlineStr">
        <is>
          <t>Brak sygnałów problemów z długiem.</t>
        </is>
      </c>
      <c r="E11" s="189" t="inlineStr">
        <is>
          <t>✅ Bilans bezpieczny. Firma ma czas. Problem jest operacyjny, nie finansowy.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08" min="1" max="1"/>
    <col width="36" customWidth="1" style="108" min="2" max="2"/>
    <col width="46" customWidth="1" style="108" min="3" max="3"/>
    <col width="24" customWidth="1" style="108" min="4" max="4"/>
  </cols>
  <sheetData>
    <row r="1" ht="31.5" customHeight="1" s="109">
      <c r="A1" s="186" t="inlineStr">
        <is>
          <t>RED FLAGS  —  Perspektywa CFO</t>
        </is>
      </c>
      <c r="B1" s="112" t="n"/>
      <c r="C1" s="112" t="n"/>
      <c r="D1" s="112" t="n"/>
    </row>
    <row r="2" ht="9.75" customHeight="1" s="109"/>
    <row r="3" ht="43.5" customHeight="1" s="109">
      <c r="A3" s="163" t="inlineStr">
        <is>
          <t>🔴</t>
        </is>
      </c>
      <c r="B3" s="190" t="inlineStr">
        <is>
          <t>Rosnący COGS%  (80.7% → 86.4%)</t>
        </is>
      </c>
      <c r="C3" s="191" t="inlineStr">
        <is>
          <t>Koszty produkcji rosną szybciej niż sprzedaż. Bez korekty marża znika.</t>
        </is>
      </c>
      <c r="D3" s="192" t="inlineStr">
        <is>
          <t>Profitability</t>
        </is>
      </c>
    </row>
    <row r="4" ht="43.5" customHeight="1" s="109">
      <c r="A4" s="163" t="inlineStr">
        <is>
          <t>🔴</t>
        </is>
      </c>
      <c r="B4" s="190" t="inlineStr">
        <is>
          <t>CFO zależny od KON, nie od marży</t>
        </is>
      </c>
      <c r="C4" s="191" t="inlineStr">
        <is>
          <t>CFS 2024=−6 044, 2025=+2 742. Gotówka pochodzi z rotacji KON, nie z zysku.</t>
        </is>
      </c>
      <c r="D4" s="192" t="inlineStr">
        <is>
          <t>Cash_Flow_Sales</t>
        </is>
      </c>
    </row>
    <row r="5" ht="43.5" customHeight="1" s="109">
      <c r="A5" s="163" t="inlineStr">
        <is>
          <t>🔴</t>
        </is>
      </c>
      <c r="B5" s="190" t="inlineStr">
        <is>
          <t>DSO rośnie  (46 → 51 dni)</t>
        </is>
      </c>
      <c r="C5" s="191" t="inlineStr">
        <is>
          <t>ERG finansuje klientów coraz dłużej. Ryzyko dla CFO 2026.</t>
        </is>
      </c>
      <c r="D5" s="192" t="inlineStr">
        <is>
          <t>CCC</t>
        </is>
      </c>
    </row>
    <row r="6" ht="43.5" customHeight="1" s="109">
      <c r="A6" s="163" t="inlineStr">
        <is>
          <t>🔴</t>
        </is>
      </c>
      <c r="B6" s="190" t="inlineStr">
        <is>
          <t>Brak rentowności netto 2024–2025</t>
        </is>
      </c>
      <c r="C6" s="191" t="inlineStr">
        <is>
          <t>Net margin: −0.9% → −0.1%. Bez wzrostu marży nie ma organicznej poprawy.</t>
        </is>
      </c>
      <c r="D6" s="192" t="inlineStr">
        <is>
          <t>Liquidity_Debt</t>
        </is>
      </c>
    </row>
    <row r="7" ht="43.5" customHeight="1" s="109">
      <c r="A7" s="163" t="inlineStr">
        <is>
          <t>🔴</t>
        </is>
      </c>
      <c r="B7" s="190" t="inlineStr">
        <is>
          <t>Wrażliwość na ceny PE i energii</t>
        </is>
      </c>
      <c r="C7" s="191" t="inlineStr">
        <is>
          <t>COGS% rośnie mimo stabilizacji sprzedaży → brak elastyczności kosztowej.</t>
        </is>
      </c>
      <c r="D7" s="192" t="inlineStr">
        <is>
          <t>Profitability</t>
        </is>
      </c>
    </row>
    <row r="8" ht="43.5" customHeight="1" s="109">
      <c r="A8" s="163" t="inlineStr">
        <is>
          <t>🟡</t>
        </is>
      </c>
      <c r="B8" s="193" t="inlineStr">
        <is>
          <t>Cash Ratio 0.03 → 0.13  (bardzo niski)</t>
        </is>
      </c>
      <c r="C8" s="191" t="inlineStr">
        <is>
          <t>Firma nie trzyma gotówki. Działa na obrocie KON. Brak bufora.</t>
        </is>
      </c>
      <c r="D8" s="192" t="inlineStr">
        <is>
          <t>Liquidity_Debt</t>
        </is>
      </c>
    </row>
    <row r="9" ht="43.5" customHeight="1" s="109">
      <c r="A9" s="163" t="inlineStr">
        <is>
          <t>🟡</t>
        </is>
      </c>
      <c r="B9" s="193" t="inlineStr">
        <is>
          <t>Quick Ratio 0.68 w 2024</t>
        </is>
      </c>
      <c r="C9" s="191" t="inlineStr">
        <is>
          <t>Płynność zależy od sprzedaży zapasów. Poprawa 2025 do 0.87.</t>
        </is>
      </c>
      <c r="D9" s="192" t="inlineStr">
        <is>
          <t>Liquidity_Debt</t>
        </is>
      </c>
    </row>
    <row r="10" ht="43.5" customHeight="1" s="109">
      <c r="A10" s="163" t="inlineStr">
        <is>
          <t>🟡</t>
        </is>
      </c>
      <c r="B10" s="193" t="inlineStr">
        <is>
          <t>Zmiana prezentacji RZiS 2025</t>
        </is>
      </c>
      <c r="C10" s="191" t="inlineStr">
        <is>
          <t>Układ porównawczy zamiast kalkulacyjnego — utrudnia śledzenie COGS.</t>
        </is>
      </c>
      <c r="D10" s="192" t="inlineStr">
        <is>
          <t>Source_Data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08" min="1" max="1"/>
    <col width="38" customWidth="1" style="108" min="2" max="2"/>
    <col width="46" customWidth="1" style="108" min="3" max="3"/>
    <col width="24" customWidth="1" style="108" min="4" max="4"/>
  </cols>
  <sheetData>
    <row r="1" ht="31.5" customHeight="1" s="109">
      <c r="A1" s="186" t="inlineStr">
        <is>
          <t>DATA REQUESTS  —  Czego brakuje i o co pytać spółkę</t>
        </is>
      </c>
      <c r="B1" s="112" t="n"/>
      <c r="C1" s="112" t="n"/>
      <c r="D1" s="112" t="n"/>
    </row>
    <row r="2" ht="9.75" customHeight="1" s="109"/>
    <row r="3" ht="43.5" customHeight="1" s="109">
      <c r="A3" s="194" t="inlineStr">
        <is>
          <t>1</t>
        </is>
      </c>
      <c r="B3" s="138" t="inlineStr">
        <is>
          <t>AR Aging (0–30 / 31–60 / 60+ dni)</t>
        </is>
      </c>
      <c r="C3" s="195" t="inlineStr">
        <is>
          <t>DSO=51 dni — ile % jest przeterminowane? Jakość należności.</t>
        </is>
      </c>
      <c r="D3" s="196" t="inlineStr">
        <is>
          <t>CCC, Red_Flags</t>
        </is>
      </c>
    </row>
    <row r="4" ht="43.5" customHeight="1" s="109">
      <c r="A4" s="194" t="inlineStr">
        <is>
          <t>2</t>
        </is>
      </c>
      <c r="B4" s="138" t="inlineStr">
        <is>
          <t>AP Aging</t>
        </is>
      </c>
      <c r="C4" s="195" t="inlineStr">
        <is>
          <t>Rzeczywiste DPO i ryzyko utraty rabatów dostawców.</t>
        </is>
      </c>
      <c r="D4" s="196" t="inlineStr">
        <is>
          <t>CCC</t>
        </is>
      </c>
    </row>
    <row r="5" ht="43.5" customHeight="1" s="109">
      <c r="A5" s="194" t="inlineStr">
        <is>
          <t>3</t>
        </is>
      </c>
      <c r="B5" s="138" t="inlineStr">
        <is>
          <t>Inventory Aging</t>
        </is>
      </c>
      <c r="C5" s="195" t="inlineStr">
        <is>
          <t>Czy wzrost 2024 to surowce czy wyroby gotowe? Ryzyko odpisów.</t>
        </is>
      </c>
      <c r="D5" s="196" t="inlineStr">
        <is>
          <t>Working_Capital</t>
        </is>
      </c>
    </row>
    <row r="6" ht="43.5" customHeight="1" s="109">
      <c r="A6" s="194" t="inlineStr">
        <is>
          <t>4</t>
        </is>
      </c>
      <c r="B6" s="138" t="inlineStr">
        <is>
          <t>Rozbicie COGS: PE / energia / praca</t>
        </is>
      </c>
      <c r="C6" s="195" t="inlineStr">
        <is>
          <t>Identyfikacja głównego drivera wzrostu COGS%.</t>
        </is>
      </c>
      <c r="D6" s="196" t="inlineStr">
        <is>
          <t>Profitability</t>
        </is>
      </c>
    </row>
    <row r="7" ht="43.5" customHeight="1" s="109">
      <c r="A7" s="194" t="inlineStr">
        <is>
          <t>5</t>
        </is>
      </c>
      <c r="B7" s="138" t="inlineStr">
        <is>
          <t>Rozbicie CFO: EBITDA / KON / inne</t>
        </is>
      </c>
      <c r="C7" s="195" t="inlineStr">
        <is>
          <t>Weryfikacja ile z CFO 6,9 mln pochodzi z KON, a ile z EBITDA.</t>
        </is>
      </c>
      <c r="D7" s="196" t="inlineStr">
        <is>
          <t>CFO_Driver_Bridge</t>
        </is>
      </c>
    </row>
    <row r="8" ht="43.5" customHeight="1" s="109">
      <c r="A8" s="194" t="inlineStr">
        <is>
          <t>6</t>
        </is>
      </c>
      <c r="B8" s="138" t="inlineStr">
        <is>
          <t>Harmonogram zadłużenia</t>
        </is>
      </c>
      <c r="C8" s="195" t="inlineStr">
        <is>
          <t>Kiedy zapadają zobowiązania finansowe?</t>
        </is>
      </c>
      <c r="D8" s="196" t="inlineStr">
        <is>
          <t>Liquidity_Debt</t>
        </is>
      </c>
    </row>
    <row r="9" ht="43.5" customHeight="1" s="109">
      <c r="A9" s="194" t="inlineStr">
        <is>
          <t>7</t>
        </is>
      </c>
      <c r="B9" s="138" t="inlineStr">
        <is>
          <t>Koszty odsetek</t>
        </is>
      </c>
      <c r="C9" s="195" t="inlineStr">
        <is>
          <t>Brak Interest Coverage Ratio. Ile kosztuje dług?</t>
        </is>
      </c>
      <c r="D9" s="196" t="inlineStr">
        <is>
          <t>Liquidity_Debt</t>
        </is>
      </c>
    </row>
    <row r="10" ht="43.5" customHeight="1" s="109">
      <c r="A10" s="194" t="inlineStr">
        <is>
          <t>8</t>
        </is>
      </c>
      <c r="B10" s="138" t="inlineStr">
        <is>
          <t>Warunki płatności klientów</t>
        </is>
      </c>
      <c r="C10" s="195" t="inlineStr">
        <is>
          <t>Wyjaśnienie wzrostu DSO 46→51 dni.</t>
        </is>
      </c>
      <c r="D10" s="196" t="inlineStr">
        <is>
          <t>CCC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08" min="1" max="1"/>
    <col width="14" customWidth="1" style="108" min="2" max="5"/>
    <col width="12" customWidth="1" style="108" min="6" max="6"/>
    <col width="42" customWidth="1" style="108" min="7" max="7"/>
  </cols>
  <sheetData>
    <row r="1" ht="21.75" customHeight="1" s="109">
      <c r="A1" s="197" t="inlineStr">
        <is>
          <t>Metric</t>
        </is>
      </c>
      <c r="B1" s="197" t="inlineStr">
        <is>
          <t>Category</t>
        </is>
      </c>
      <c r="C1" s="198" t="inlineStr">
        <is>
          <t>2024</t>
        </is>
      </c>
      <c r="D1" s="198" t="inlineStr">
        <is>
          <t>2025</t>
        </is>
      </c>
      <c r="E1" s="198" t="inlineStr">
        <is>
          <t>Change</t>
        </is>
      </c>
      <c r="F1" s="198" t="inlineStr">
        <is>
          <t>Flag</t>
        </is>
      </c>
      <c r="G1" s="198" t="inlineStr">
        <is>
          <t>Insight</t>
        </is>
      </c>
    </row>
    <row r="2" ht="31.5" customHeight="1" s="109">
      <c r="A2" s="199" t="inlineStr">
        <is>
          <t>DSO</t>
        </is>
      </c>
      <c r="B2" s="200" t="inlineStr">
        <is>
          <t>CCC</t>
        </is>
      </c>
      <c r="C2" s="201">
        <f>CCC!C3</f>
        <v/>
      </c>
      <c r="D2" s="201">
        <f>CCC!D3</f>
        <v/>
      </c>
      <c r="E2" s="202">
        <f>IF(OR(CCC!C3="n/d",CCC!D3="n/d"),"n/d",CCC!D3-CCC!C3)</f>
        <v/>
      </c>
      <c r="F2" s="203" t="inlineStr">
        <is>
          <t>NEGATIVE</t>
        </is>
      </c>
      <c r="G2" s="164" t="inlineStr">
        <is>
          <t>DSO rising — ERG finances clients longer. Risk for 2026 CFO.</t>
        </is>
      </c>
    </row>
    <row r="3" ht="31.5" customHeight="1" s="109">
      <c r="A3" s="199" t="inlineStr">
        <is>
          <t>DIO</t>
        </is>
      </c>
      <c r="B3" s="200" t="inlineStr">
        <is>
          <t>CCC</t>
        </is>
      </c>
      <c r="C3" s="201">
        <f>CCC!C4</f>
        <v/>
      </c>
      <c r="D3" s="201">
        <f>CCC!D4</f>
        <v/>
      </c>
      <c r="E3" s="202">
        <f>IF(OR(CCC!C4="n/d",CCC!D4="n/d"),"n/d",CCC!D4-CCC!C4)</f>
        <v/>
      </c>
      <c r="F3" s="204" t="inlineStr">
        <is>
          <t>POSITIVE</t>
        </is>
      </c>
      <c r="G3" s="164" t="inlineStr">
        <is>
          <t>Inventory reduction — part operational, part lower PE prices.</t>
        </is>
      </c>
    </row>
    <row r="4" ht="31.5" customHeight="1" s="109">
      <c r="A4" s="199" t="inlineStr">
        <is>
          <t>DPO</t>
        </is>
      </c>
      <c r="B4" s="200" t="inlineStr">
        <is>
          <t>CCC</t>
        </is>
      </c>
      <c r="C4" s="201">
        <f>CCC!C5</f>
        <v/>
      </c>
      <c r="D4" s="201">
        <f>CCC!D5</f>
        <v/>
      </c>
      <c r="E4" s="202">
        <f>IF(OR(CCC!C5="n/d",CCC!D5="n/d"),"n/d",CCC!D5-CCC!C5)</f>
        <v/>
      </c>
      <c r="F4" s="204" t="inlineStr">
        <is>
          <t>POSITIVE</t>
        </is>
      </c>
      <c r="G4" s="164" t="inlineStr">
        <is>
          <t>Suppliers finance more — positive for CFO.</t>
        </is>
      </c>
    </row>
    <row r="5" ht="31.5" customHeight="1" s="109">
      <c r="A5" s="199" t="inlineStr">
        <is>
          <t>CCC</t>
        </is>
      </c>
      <c r="B5" s="200" t="inlineStr">
        <is>
          <t>CCC</t>
        </is>
      </c>
      <c r="C5" s="201">
        <f>CCC!C6</f>
        <v/>
      </c>
      <c r="D5" s="201">
        <f>CCC!D6</f>
        <v/>
      </c>
      <c r="E5" s="202">
        <f>IF(OR(CCC!C6="n/d",CCC!D6="n/d"),"n/d",CCC!D6-CCC!C6)</f>
        <v/>
      </c>
      <c r="F5" s="204" t="inlineStr">
        <is>
          <t>POSITIVE</t>
        </is>
      </c>
      <c r="G5" s="164" t="inlineStr">
        <is>
          <t>CCC improved 83→68 days. Working capital cycle faster.</t>
        </is>
      </c>
    </row>
    <row r="6" ht="31.5" customHeight="1" s="109">
      <c r="A6" s="199" t="inlineStr">
        <is>
          <t>EBITDA</t>
        </is>
      </c>
      <c r="B6" s="200" t="inlineStr">
        <is>
          <t>Profitability</t>
        </is>
      </c>
      <c r="C6" s="205">
        <f>'01_Source_Data'!C10</f>
        <v/>
      </c>
      <c r="D6" s="205">
        <f>'01_Source_Data'!D10</f>
        <v/>
      </c>
      <c r="E6" s="206">
        <f>IF('01_Source_Data'!C10=0,"n/d",('01_Source_Data'!D10-'01_Source_Data'!C10)/ABS('01_Source_Data'!C10))</f>
        <v/>
      </c>
      <c r="F6" s="204" t="inlineStr">
        <is>
          <t>POSITIVE</t>
        </is>
      </c>
      <c r="G6" s="164" t="inlineStr">
        <is>
          <t>EBITDA recovering. Still below 2023 level.</t>
        </is>
      </c>
    </row>
    <row r="7" ht="31.5" customHeight="1" s="109">
      <c r="A7" s="199" t="inlineStr">
        <is>
          <t>EBIT</t>
        </is>
      </c>
      <c r="B7" s="200" t="inlineStr">
        <is>
          <t>Profitability</t>
        </is>
      </c>
      <c r="C7" s="205">
        <f>'01_Source_Data'!C8</f>
        <v/>
      </c>
      <c r="D7" s="205">
        <f>'01_Source_Data'!D8</f>
        <v/>
      </c>
      <c r="E7" s="176" t="inlineStr">
        <is>
          <t>n/d</t>
        </is>
      </c>
      <c r="F7" s="207" t="inlineStr">
        <is>
          <t>CAUTION</t>
        </is>
      </c>
      <c r="G7" s="164" t="inlineStr">
        <is>
          <t>EBIT near zero. No structural margin recovery yet.</t>
        </is>
      </c>
    </row>
    <row r="8" ht="31.5" customHeight="1" s="109">
      <c r="A8" s="199" t="inlineStr">
        <is>
          <t>Net_Income</t>
        </is>
      </c>
      <c r="B8" s="200" t="inlineStr">
        <is>
          <t>Profitability</t>
        </is>
      </c>
      <c r="C8" s="205">
        <f>'01_Source_Data'!C11</f>
        <v/>
      </c>
      <c r="D8" s="205">
        <f>'01_Source_Data'!D11</f>
        <v/>
      </c>
      <c r="E8" s="176" t="inlineStr">
        <is>
          <t>n/d</t>
        </is>
      </c>
      <c r="F8" s="203" t="inlineStr">
        <is>
          <t>NEGATIVE</t>
        </is>
      </c>
      <c r="G8" s="164" t="inlineStr">
        <is>
          <t>Net loss 2024. Near-zero 2025. No retained earnings.</t>
        </is>
      </c>
    </row>
    <row r="9" ht="31.5" customHeight="1" s="109">
      <c r="A9" s="199" t="inlineStr">
        <is>
          <t>COGS_pct</t>
        </is>
      </c>
      <c r="B9" s="200" t="inlineStr">
        <is>
          <t>Profitability</t>
        </is>
      </c>
      <c r="C9" s="206">
        <f>'01_Source_Data'!C6/'01_Source_Data'!C5</f>
        <v/>
      </c>
      <c r="D9" s="206">
        <f>'01_Source_Data'!D6/'01_Source_Data'!D5</f>
        <v/>
      </c>
      <c r="E9" s="208">
        <f>'01_Source_Data'!D6/'01_Source_Data'!D5-'01_Source_Data'!C6/'01_Source_Data'!C5</f>
        <v/>
      </c>
      <c r="F9" s="203" t="inlineStr">
        <is>
          <t>NEGATIVE</t>
        </is>
      </c>
      <c r="G9" s="164" t="inlineStr">
        <is>
          <t>COGS% rising to 86.4%. Cost structure not adjusted.</t>
        </is>
      </c>
    </row>
    <row r="10" ht="31.5" customHeight="1" s="109">
      <c r="A10" s="199" t="inlineStr">
        <is>
          <t>EBITDA_margin</t>
        </is>
      </c>
      <c r="B10" s="200" t="inlineStr">
        <is>
          <t>Profitability</t>
        </is>
      </c>
      <c r="C10" s="206">
        <f>'01_Source_Data'!C10/'01_Source_Data'!C5</f>
        <v/>
      </c>
      <c r="D10" s="206">
        <f>'01_Source_Data'!D10/'01_Source_Data'!D5</f>
        <v/>
      </c>
      <c r="E10" s="208">
        <f>'01_Source_Data'!D10/'01_Source_Data'!D5-'01_Source_Data'!C10/'01_Source_Data'!C5</f>
        <v/>
      </c>
      <c r="F10" s="204" t="inlineStr">
        <is>
          <t>POSITIVE</t>
        </is>
      </c>
      <c r="G10" s="164" t="inlineStr">
        <is>
          <t>EBITDA margin recovering: 5.2%→6.8%. Still below 9.3% (2023).</t>
        </is>
      </c>
    </row>
    <row r="11" ht="31.5" customHeight="1" s="109">
      <c r="A11" s="199" t="inlineStr">
        <is>
          <t>CFO</t>
        </is>
      </c>
      <c r="B11" s="200" t="inlineStr">
        <is>
          <t>Cash</t>
        </is>
      </c>
      <c r="C11" s="205">
        <f>'01_Source_Data'!C23</f>
        <v/>
      </c>
      <c r="D11" s="205">
        <f>'01_Source_Data'!D23</f>
        <v/>
      </c>
      <c r="E11" s="176" t="inlineStr">
        <is>
          <t>n/d</t>
        </is>
      </c>
      <c r="F11" s="204" t="inlineStr">
        <is>
          <t>POSITIVE</t>
        </is>
      </c>
      <c r="G11" s="164" t="inlineStr">
        <is>
          <t>CFO strongly positive in 2025. Driven by KON release.</t>
        </is>
      </c>
    </row>
    <row r="12" ht="31.5" customHeight="1" s="109">
      <c r="A12" s="199" t="inlineStr">
        <is>
          <t>CFS</t>
        </is>
      </c>
      <c r="B12" s="200" t="inlineStr">
        <is>
          <t>Cash_Flow_Sales</t>
        </is>
      </c>
      <c r="C12" s="205">
        <f>Cash_Flow_Sales!C5</f>
        <v/>
      </c>
      <c r="D12" s="205">
        <f>Cash_Flow_Sales!D5</f>
        <v/>
      </c>
      <c r="E12" s="176" t="inlineStr">
        <is>
          <t>n/d</t>
        </is>
      </c>
      <c r="F12" s="204" t="inlineStr">
        <is>
          <t>POSITIVE</t>
        </is>
      </c>
      <c r="G12" s="164" t="inlineStr">
        <is>
          <t>CFS improved from -6 044 to +2 742. KON release is the driver.</t>
        </is>
      </c>
    </row>
    <row r="13" ht="31.5" customHeight="1" s="109">
      <c r="A13" s="199" t="inlineStr">
        <is>
          <t>CFO_EBITDA</t>
        </is>
      </c>
      <c r="B13" s="200" t="inlineStr">
        <is>
          <t>Cash</t>
        </is>
      </c>
      <c r="C13" s="209">
        <f>EBITDA_CFO!C7</f>
        <v/>
      </c>
      <c r="D13" s="209">
        <f>EBITDA_CFO!D7</f>
        <v/>
      </c>
      <c r="E13" s="176" t="inlineStr">
        <is>
          <t>n/d</t>
        </is>
      </c>
      <c r="F13" s="204" t="inlineStr">
        <is>
          <t>POSITIVE</t>
        </is>
      </c>
      <c r="G13" s="164" t="inlineStr">
        <is>
          <t>2025: CFO/EBITDA=1.37x. KON contributed ~2 190 above EBITDA.</t>
        </is>
      </c>
    </row>
    <row r="14" ht="31.5" customHeight="1" s="109">
      <c r="A14" s="199" t="inlineStr">
        <is>
          <t>Current_Ratio</t>
        </is>
      </c>
      <c r="B14" s="200" t="inlineStr">
        <is>
          <t>Liquidity</t>
        </is>
      </c>
      <c r="C14" s="209">
        <f>'01_Source_Data'!C13/'01_Source_Data'!C19</f>
        <v/>
      </c>
      <c r="D14" s="209">
        <f>'01_Source_Data'!D13/'01_Source_Data'!D19</f>
        <v/>
      </c>
      <c r="E14" s="209">
        <f>'01_Source_Data'!D13/'01_Source_Data'!D19-'01_Source_Data'!C13/'01_Source_Data'!C19</f>
        <v/>
      </c>
      <c r="F14" s="204" t="inlineStr">
        <is>
          <t>POSITIVE</t>
        </is>
      </c>
      <c r="G14" s="164" t="inlineStr">
        <is>
          <t>Current ratio improving 1.48→1.79. No liquidity crisis.</t>
        </is>
      </c>
    </row>
    <row r="15" ht="31.5" customHeight="1" s="109">
      <c r="A15" s="199" t="inlineStr">
        <is>
          <t>Debt_Equity</t>
        </is>
      </c>
      <c r="B15" s="200" t="inlineStr">
        <is>
          <t>Liquidity</t>
        </is>
      </c>
      <c r="C15" s="209">
        <f>'01_Source_Data'!C18/'01_Source_Data'!C21</f>
        <v/>
      </c>
      <c r="D15" s="209">
        <f>'01_Source_Data'!D18/'01_Source_Data'!D21</f>
        <v/>
      </c>
      <c r="E15" s="209">
        <f>'01_Source_Data'!D18/'01_Source_Data'!D21-'01_Source_Data'!C18/'01_Source_Data'!C21</f>
        <v/>
      </c>
      <c r="F15" s="204" t="inlineStr">
        <is>
          <t>POSITIVE</t>
        </is>
      </c>
      <c r="G15" s="164" t="inlineStr">
        <is>
          <t>D/E falling 0.72→0.69. No debt pressure.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08" min="1" max="1"/>
    <col width="20" customWidth="1" style="108" min="2" max="2"/>
    <col width="14" customWidth="1" style="108" min="3" max="7"/>
    <col width="10" customWidth="1" style="108" min="8" max="8"/>
    <col width="52" customWidth="1" style="108" min="9" max="10"/>
  </cols>
  <sheetData>
    <row r="1" ht="21.75" customHeight="1" s="109">
      <c r="A1" s="197" t="inlineStr">
        <is>
          <t>section</t>
        </is>
      </c>
      <c r="B1" s="197" t="inlineStr">
        <is>
          <t>metric</t>
        </is>
      </c>
      <c r="C1" s="197" t="inlineStr">
        <is>
          <t>unit</t>
        </is>
      </c>
      <c r="D1" s="198" t="inlineStr">
        <is>
          <t>val_2023</t>
        </is>
      </c>
      <c r="E1" s="198" t="inlineStr">
        <is>
          <t>val_2024</t>
        </is>
      </c>
      <c r="F1" s="198" t="inlineStr">
        <is>
          <t>val_2025</t>
        </is>
      </c>
      <c r="G1" s="198" t="inlineStr">
        <is>
          <t>yoy_2024</t>
        </is>
      </c>
      <c r="H1" s="198" t="inlineStr">
        <is>
          <t>yoy_2025</t>
        </is>
      </c>
      <c r="I1" s="198" t="inlineStr">
        <is>
          <t>flag</t>
        </is>
      </c>
      <c r="J1" s="198" t="inlineStr">
        <is>
          <t>insight</t>
        </is>
      </c>
    </row>
    <row r="2" ht="30" customHeight="1" s="109">
      <c r="A2" s="188" t="inlineStr">
        <is>
          <t>Revenue</t>
        </is>
      </c>
      <c r="B2" s="199" t="inlineStr">
        <is>
          <t>Sales_PLN_000</t>
        </is>
      </c>
      <c r="C2" s="200" t="inlineStr">
        <is>
          <t>PLN_thousands</t>
        </is>
      </c>
      <c r="D2" s="205">
        <f>'01_Source_Data'!B5</f>
        <v/>
      </c>
      <c r="E2" s="205">
        <f>'01_Source_Data'!C5</f>
        <v/>
      </c>
      <c r="F2" s="205">
        <f>'01_Source_Data'!D5</f>
        <v/>
      </c>
      <c r="G2" s="206">
        <f>IF(OR(D2=0,D2=""),"n/d",(E2-D2)/ABS(D2))</f>
        <v/>
      </c>
      <c r="H2" s="206">
        <f>IF(OR(E2=0,E2=""),"n/d",(F2-E2)/ABS(E2))</f>
        <v/>
      </c>
      <c r="I2" s="207" t="inlineStr">
        <is>
          <t>CAUTION</t>
        </is>
      </c>
      <c r="J2" s="164" t="inlineStr">
        <is>
          <t>Revenue declined 22% in 2024. Flat in 2025 but volume +3.3% with lower unit prices.</t>
        </is>
      </c>
    </row>
    <row r="3" ht="30" customHeight="1" s="109">
      <c r="A3" s="188" t="inlineStr">
        <is>
          <t>Revenue</t>
        </is>
      </c>
      <c r="B3" s="199" t="inlineStr">
        <is>
          <t>COGS_PLN_000</t>
        </is>
      </c>
      <c r="C3" s="200" t="inlineStr">
        <is>
          <t>PLN_thousands</t>
        </is>
      </c>
      <c r="D3" s="205">
        <f>'01_Source_Data'!B6</f>
        <v/>
      </c>
      <c r="E3" s="205">
        <f>'01_Source_Data'!C6</f>
        <v/>
      </c>
      <c r="F3" s="205">
        <f>'01_Source_Data'!D6</f>
        <v/>
      </c>
      <c r="G3" s="206">
        <f>IF(OR(D3=0,D3=""),"n/d",(E3-D3)/ABS(D3))</f>
        <v/>
      </c>
      <c r="H3" s="206">
        <f>IF(OR(E3=0,E3=""),"n/d",(F3-E3)/ABS(E3))</f>
        <v/>
      </c>
      <c r="I3" s="203" t="inlineStr">
        <is>
          <t>NEGATIVE</t>
        </is>
      </c>
      <c r="J3" s="164" t="inlineStr">
        <is>
          <t>COGS declining slower than revenue — cost structure not elastic.</t>
        </is>
      </c>
    </row>
    <row r="4" ht="30" customHeight="1" s="109">
      <c r="A4" s="188" t="inlineStr">
        <is>
          <t>Profitability</t>
        </is>
      </c>
      <c r="B4" s="199" t="inlineStr">
        <is>
          <t>EBITDA_PLN_000</t>
        </is>
      </c>
      <c r="C4" s="200" t="inlineStr">
        <is>
          <t>PLN_thousands</t>
        </is>
      </c>
      <c r="D4" s="205">
        <f>'01_Source_Data'!B10</f>
        <v/>
      </c>
      <c r="E4" s="205">
        <f>'01_Source_Data'!C10</f>
        <v/>
      </c>
      <c r="F4" s="205">
        <f>'01_Source_Data'!D10</f>
        <v/>
      </c>
      <c r="G4" s="206">
        <f>IF(OR(D4=0,D4=""),"n/d",(E4-D4)/ABS(D4))</f>
        <v/>
      </c>
      <c r="H4" s="206">
        <f>IF(OR(E4=0,E4=""),"n/d",(F4-E4)/ABS(E4))</f>
        <v/>
      </c>
      <c r="I4" s="207" t="inlineStr">
        <is>
          <t>CAUTION</t>
        </is>
      </c>
      <c r="J4" s="164" t="inlineStr">
        <is>
          <t>EBITDA dropped 56% in 2024. Partial recovery +32% in 2025. Still below 2023.</t>
        </is>
      </c>
    </row>
    <row r="5" ht="30" customHeight="1" s="109">
      <c r="A5" s="188" t="inlineStr">
        <is>
          <t>Profitability</t>
        </is>
      </c>
      <c r="B5" s="199" t="inlineStr">
        <is>
          <t>EBIT_PLN_000</t>
        </is>
      </c>
      <c r="C5" s="200" t="inlineStr">
        <is>
          <t>PLN_thousands</t>
        </is>
      </c>
      <c r="D5" s="205">
        <f>'01_Source_Data'!B8</f>
        <v/>
      </c>
      <c r="E5" s="205">
        <f>'01_Source_Data'!C8</f>
        <v/>
      </c>
      <c r="F5" s="205">
        <f>'01_Source_Data'!D8</f>
        <v/>
      </c>
      <c r="G5" s="206">
        <f>IF(OR(D5=0,D5=""),"n/d",(E5-D5)/ABS(D5))</f>
        <v/>
      </c>
      <c r="H5" s="206">
        <f>IF(OR(E5=0,E5=""),"n/d",(F5-E5)/ABS(E5))</f>
        <v/>
      </c>
      <c r="I5" s="207" t="inlineStr">
        <is>
          <t>CAUTION</t>
        </is>
      </c>
      <c r="J5" s="164" t="inlineStr">
        <is>
          <t>EBIT negative 2024. Near-zero 2025. Margin recovery slow.</t>
        </is>
      </c>
    </row>
    <row r="6" ht="30" customHeight="1" s="109">
      <c r="A6" s="188" t="inlineStr">
        <is>
          <t>Profitability</t>
        </is>
      </c>
      <c r="B6" s="199" t="inlineStr">
        <is>
          <t>Net_Income_PLN_000</t>
        </is>
      </c>
      <c r="C6" s="200" t="inlineStr">
        <is>
          <t>PLN_thousands</t>
        </is>
      </c>
      <c r="D6" s="205">
        <f>'01_Source_Data'!B11</f>
        <v/>
      </c>
      <c r="E6" s="205">
        <f>'01_Source_Data'!C11</f>
        <v/>
      </c>
      <c r="F6" s="205">
        <f>'01_Source_Data'!D11</f>
        <v/>
      </c>
      <c r="G6" s="206">
        <f>IF(OR(D6=0,D6=""),"n/d",(E6-D6)/ABS(D6))</f>
        <v/>
      </c>
      <c r="H6" s="206">
        <f>IF(OR(E6=0,E6=""),"n/d",(F6-E6)/ABS(E6))</f>
        <v/>
      </c>
      <c r="I6" s="203" t="inlineStr">
        <is>
          <t>NEGATIVE</t>
        </is>
      </c>
      <c r="J6" s="164" t="inlineStr">
        <is>
          <t>Net loss in 2024 and 2025. No structural profitability.</t>
        </is>
      </c>
    </row>
    <row r="7" ht="30" customHeight="1" s="109">
      <c r="A7" s="188" t="inlineStr">
        <is>
          <t>Profitability</t>
        </is>
      </c>
      <c r="B7" s="199" t="inlineStr">
        <is>
          <t>COGS_pct</t>
        </is>
      </c>
      <c r="C7" s="200" t="inlineStr">
        <is>
          <t>percent</t>
        </is>
      </c>
      <c r="D7" s="206">
        <f>'01_Source_Data'!B6/'01_Source_Data'!B5</f>
        <v/>
      </c>
      <c r="E7" s="206">
        <f>'01_Source_Data'!C6/'01_Source_Data'!C5</f>
        <v/>
      </c>
      <c r="F7" s="206">
        <f>'01_Source_Data'!D6/'01_Source_Data'!D5</f>
        <v/>
      </c>
      <c r="G7" s="206">
        <f>IF(OR(D7=0,D7=""),"n/d",(E7-D7)/ABS(D7))</f>
        <v/>
      </c>
      <c r="H7" s="206">
        <f>IF(OR(E7=0,E7=""),"n/d",(F7-E7)/ABS(E7))</f>
        <v/>
      </c>
      <c r="I7" s="203" t="inlineStr">
        <is>
          <t>NEGATIVE</t>
        </is>
      </c>
      <c r="J7" s="164" t="inlineStr">
        <is>
          <t>COGS% rising 80.7% to 86.4%. Key structural risk.</t>
        </is>
      </c>
    </row>
    <row r="8" ht="30" customHeight="1" s="109">
      <c r="A8" s="188" t="inlineStr">
        <is>
          <t>Profitability</t>
        </is>
      </c>
      <c r="B8" s="199" t="inlineStr">
        <is>
          <t>EBITDA_margin</t>
        </is>
      </c>
      <c r="C8" s="200" t="inlineStr">
        <is>
          <t>percent</t>
        </is>
      </c>
      <c r="D8" s="206">
        <f>'01_Source_Data'!B10/'01_Source_Data'!B5</f>
        <v/>
      </c>
      <c r="E8" s="206">
        <f>'01_Source_Data'!C10/'01_Source_Data'!C5</f>
        <v/>
      </c>
      <c r="F8" s="206">
        <f>'01_Source_Data'!D10/'01_Source_Data'!D5</f>
        <v/>
      </c>
      <c r="G8" s="206">
        <f>IF(OR(D8=0,D8=""),"n/d",(E8-D8)/ABS(D8))</f>
        <v/>
      </c>
      <c r="H8" s="206">
        <f>IF(OR(E8=0,E8=""),"n/d",(F8-E8)/ABS(E8))</f>
        <v/>
      </c>
      <c r="I8" s="207" t="inlineStr">
        <is>
          <t>CAUTION</t>
        </is>
      </c>
      <c r="J8" s="164" t="inlineStr">
        <is>
          <t>EBITDA margin: 9.3% to 5.2% to 6.8%. Recovering but not back to 2023.</t>
        </is>
      </c>
    </row>
    <row r="9" ht="30" customHeight="1" s="109">
      <c r="A9" s="188" t="inlineStr">
        <is>
          <t>Working_Capital</t>
        </is>
      </c>
      <c r="B9" s="199" t="inlineStr">
        <is>
          <t>Receivables_PLN_000</t>
        </is>
      </c>
      <c r="C9" s="200" t="inlineStr">
        <is>
          <t>PLN_thousands</t>
        </is>
      </c>
      <c r="D9" s="205">
        <f>'01_Source_Data'!B15</f>
        <v/>
      </c>
      <c r="E9" s="205">
        <f>'01_Source_Data'!C15</f>
        <v/>
      </c>
      <c r="F9" s="205">
        <f>'01_Source_Data'!D15</f>
        <v/>
      </c>
      <c r="G9" s="206">
        <f>IF(OR(D9=0,D9=""),"n/d",(E9-D9)/ABS(D9))</f>
        <v/>
      </c>
      <c r="H9" s="206">
        <f>IF(OR(E9=0,E9=""),"n/d",(F9-E9)/ABS(E9))</f>
        <v/>
      </c>
      <c r="I9" s="207" t="inlineStr">
        <is>
          <t>CAUTION</t>
        </is>
      </c>
      <c r="J9" s="164" t="inlineStr">
        <is>
          <t>Receivables fell in 2024 (positive) but rising in 2025. DSO growing.</t>
        </is>
      </c>
    </row>
    <row r="10" ht="30" customHeight="1" s="109">
      <c r="A10" s="188" t="inlineStr">
        <is>
          <t>Working_Capital</t>
        </is>
      </c>
      <c r="B10" s="199" t="inlineStr">
        <is>
          <t>Inventory_PLN_000</t>
        </is>
      </c>
      <c r="C10" s="200" t="inlineStr">
        <is>
          <t>PLN_thousands</t>
        </is>
      </c>
      <c r="D10" s="205">
        <f>'01_Source_Data'!B14</f>
        <v/>
      </c>
      <c r="E10" s="205">
        <f>'01_Source_Data'!C14</f>
        <v/>
      </c>
      <c r="F10" s="205">
        <f>'01_Source_Data'!D14</f>
        <v/>
      </c>
      <c r="G10" s="206">
        <f>IF(OR(D10=0,D10=""),"n/d",(E10-D10)/ABS(D10))</f>
        <v/>
      </c>
      <c r="H10" s="206">
        <f>IF(OR(E10=0,E10=""),"n/d",(F10-E10)/ABS(E10))</f>
        <v/>
      </c>
      <c r="I10" s="203" t="inlineStr">
        <is>
          <t>NEGATIVE</t>
        </is>
      </c>
      <c r="J10" s="164" t="inlineStr">
        <is>
          <t>Inventory jumped to 14 304 in 2024 — main driver of negative CFO.</t>
        </is>
      </c>
    </row>
    <row r="11" ht="30" customHeight="1" s="109">
      <c r="A11" s="188" t="inlineStr">
        <is>
          <t>Working_Capital</t>
        </is>
      </c>
      <c r="B11" s="199" t="inlineStr">
        <is>
          <t>Payables_PLN_000</t>
        </is>
      </c>
      <c r="C11" s="200" t="inlineStr">
        <is>
          <t>PLN_thousands</t>
        </is>
      </c>
      <c r="D11" s="205">
        <f>'01_Source_Data'!B20</f>
        <v/>
      </c>
      <c r="E11" s="205">
        <f>'01_Source_Data'!C20</f>
        <v/>
      </c>
      <c r="F11" s="205">
        <f>'01_Source_Data'!D20</f>
        <v/>
      </c>
      <c r="G11" s="206">
        <f>IF(OR(D11=0,D11=""),"n/d",(E11-D11)/ABS(D11))</f>
        <v/>
      </c>
      <c r="H11" s="206">
        <f>IF(OR(E11=0,E11=""),"n/d",(F11-E11)/ABS(E11))</f>
        <v/>
      </c>
      <c r="I11" s="204" t="inlineStr">
        <is>
          <t>POSITIVE</t>
        </is>
      </c>
      <c r="J11" s="164" t="inlineStr">
        <is>
          <t>Payables rising in 2025 — suppliers financing more.</t>
        </is>
      </c>
    </row>
    <row r="12" ht="30" customHeight="1" s="109">
      <c r="A12" s="188" t="inlineStr">
        <is>
          <t>Working_Capital</t>
        </is>
      </c>
      <c r="B12" s="199" t="inlineStr">
        <is>
          <t>KON_PLN_000</t>
        </is>
      </c>
      <c r="C12" s="200" t="inlineStr">
        <is>
          <t>PLN_thousands</t>
        </is>
      </c>
      <c r="D12" s="205">
        <f>Working_Capital!C6</f>
        <v/>
      </c>
      <c r="E12" s="205">
        <f>Working_Capital!C6</f>
        <v/>
      </c>
      <c r="F12" s="205">
        <f>Working_Capital!D6</f>
        <v/>
      </c>
      <c r="G12" s="176" t="inlineStr">
        <is>
          <t>n/d</t>
        </is>
      </c>
      <c r="H12" s="176" t="inlineStr">
        <is>
          <t>n/d</t>
        </is>
      </c>
      <c r="I12" s="203" t="inlineStr">
        <is>
          <t>NEGATIVE</t>
        </is>
      </c>
      <c r="J12" s="164" t="inlineStr">
        <is>
          <t>KON peaked at 15 629 in 2024 (cash trap). Falling to 13 439 in 2025.</t>
        </is>
      </c>
    </row>
    <row r="13" ht="30" customHeight="1" s="109">
      <c r="A13" s="188" t="inlineStr">
        <is>
          <t>Working_Capital</t>
        </is>
      </c>
      <c r="B13" s="199" t="inlineStr">
        <is>
          <t>Delta_KON_PLN_000</t>
        </is>
      </c>
      <c r="C13" s="200" t="inlineStr">
        <is>
          <t>PLN_thousands</t>
        </is>
      </c>
      <c r="D13" s="176" t="inlineStr">
        <is>
          <t>n/d</t>
        </is>
      </c>
      <c r="E13" s="205">
        <f>Working_Capital!C8</f>
        <v/>
      </c>
      <c r="F13" s="205">
        <f>Working_Capital!D8</f>
        <v/>
      </c>
      <c r="G13" s="176" t="inlineStr">
        <is>
          <t>n/d</t>
        </is>
      </c>
      <c r="H13" s="176" t="inlineStr">
        <is>
          <t>n/d</t>
        </is>
      </c>
      <c r="I13" s="204" t="inlineStr">
        <is>
          <t>POSITIVE</t>
        </is>
      </c>
      <c r="J13" s="164" t="inlineStr">
        <is>
          <t>ΔKON: +5 223 in 2024 (absorbing cash), −2 190 in 2025 (releasing cash).</t>
        </is>
      </c>
    </row>
    <row r="14" ht="30" customHeight="1" s="109">
      <c r="A14" s="188" t="inlineStr">
        <is>
          <t>CCC</t>
        </is>
      </c>
      <c r="B14" s="199" t="inlineStr">
        <is>
          <t>DSO_days</t>
        </is>
      </c>
      <c r="C14" s="200" t="inlineStr">
        <is>
          <t>days</t>
        </is>
      </c>
      <c r="D14" s="176" t="inlineStr">
        <is>
          <t>n/d</t>
        </is>
      </c>
      <c r="E14" s="201">
        <f>CCC!C3</f>
        <v/>
      </c>
      <c r="F14" s="201">
        <f>CCC!D3</f>
        <v/>
      </c>
      <c r="G14" s="176" t="inlineStr">
        <is>
          <t>n/d</t>
        </is>
      </c>
      <c r="H14" s="176" t="inlineStr">
        <is>
          <t>n/d</t>
        </is>
      </c>
      <c r="I14" s="203" t="inlineStr">
        <is>
          <t>NEGATIVE</t>
        </is>
      </c>
      <c r="J14" s="164" t="inlineStr">
        <is>
          <t>DSO rising 46→51 days. Clients paying later.</t>
        </is>
      </c>
    </row>
    <row r="15" ht="30" customHeight="1" s="109">
      <c r="A15" s="188" t="inlineStr">
        <is>
          <t>CCC</t>
        </is>
      </c>
      <c r="B15" s="199" t="inlineStr">
        <is>
          <t>DIO_days</t>
        </is>
      </c>
      <c r="C15" s="200" t="inlineStr">
        <is>
          <t>days</t>
        </is>
      </c>
      <c r="D15" s="201">
        <f>IF('01_Source_Data'!B6=0,"n/d",'01_Source_Data'!B14/'01_Source_Data'!B6*365)</f>
        <v/>
      </c>
      <c r="E15" s="201">
        <f>CCC!C4</f>
        <v/>
      </c>
      <c r="F15" s="201">
        <f>CCC!D4</f>
        <v/>
      </c>
      <c r="G15" s="176" t="inlineStr">
        <is>
          <t>n/d</t>
        </is>
      </c>
      <c r="H15" s="176" t="inlineStr">
        <is>
          <t>n/d</t>
        </is>
      </c>
      <c r="I15" s="204" t="inlineStr">
        <is>
          <t>POSITIVE</t>
        </is>
      </c>
      <c r="J15" s="164" t="inlineStr">
        <is>
          <t>DIO improved 82→73 days. Partially price effect (cheaper PE).</t>
        </is>
      </c>
    </row>
    <row r="16" ht="30" customHeight="1" s="109">
      <c r="A16" s="188" t="inlineStr">
        <is>
          <t>CCC</t>
        </is>
      </c>
      <c r="B16" s="199" t="inlineStr">
        <is>
          <t>DPO_days</t>
        </is>
      </c>
      <c r="C16" s="200" t="inlineStr">
        <is>
          <t>days</t>
        </is>
      </c>
      <c r="D16" s="201">
        <f>IF('01_Source_Data'!B6=0,"n/d",'01_Source_Data'!B20/'01_Source_Data'!B6*365)</f>
        <v/>
      </c>
      <c r="E16" s="201">
        <f>CCC!C5</f>
        <v/>
      </c>
      <c r="F16" s="201">
        <f>CCC!D5</f>
        <v/>
      </c>
      <c r="G16" s="176" t="inlineStr">
        <is>
          <t>n/d</t>
        </is>
      </c>
      <c r="H16" s="176" t="inlineStr">
        <is>
          <t>n/d</t>
        </is>
      </c>
      <c r="I16" s="204" t="inlineStr">
        <is>
          <t>POSITIVE</t>
        </is>
      </c>
      <c r="J16" s="164" t="inlineStr">
        <is>
          <t>DPO improved 45→56 days. Suppliers financing more.</t>
        </is>
      </c>
    </row>
    <row r="17" ht="30" customHeight="1" s="109">
      <c r="A17" s="188" t="inlineStr">
        <is>
          <t>CCC</t>
        </is>
      </c>
      <c r="B17" s="199" t="inlineStr">
        <is>
          <t>CCC_days</t>
        </is>
      </c>
      <c r="C17" s="200" t="inlineStr">
        <is>
          <t>days</t>
        </is>
      </c>
      <c r="D17" s="176" t="inlineStr">
        <is>
          <t>n/d</t>
        </is>
      </c>
      <c r="E17" s="201">
        <f>CCC!C6</f>
        <v/>
      </c>
      <c r="F17" s="201">
        <f>CCC!D6</f>
        <v/>
      </c>
      <c r="G17" s="176" t="inlineStr">
        <is>
          <t>n/d</t>
        </is>
      </c>
      <c r="H17" s="176" t="inlineStr">
        <is>
          <t>n/d</t>
        </is>
      </c>
      <c r="I17" s="204" t="inlineStr">
        <is>
          <t>POSITIVE</t>
        </is>
      </c>
      <c r="J17" s="164" t="inlineStr">
        <is>
          <t>CCC improved 83→68 days. Working capital cycle faster.</t>
        </is>
      </c>
    </row>
    <row r="18" ht="30" customHeight="1" s="109">
      <c r="A18" s="188" t="inlineStr">
        <is>
          <t>Cash_Flow</t>
        </is>
      </c>
      <c r="B18" s="199" t="inlineStr">
        <is>
          <t>CFO_PLN_000</t>
        </is>
      </c>
      <c r="C18" s="200" t="inlineStr">
        <is>
          <t>PLN_thousands</t>
        </is>
      </c>
      <c r="D18" s="205">
        <f>'01_Source_Data'!B23</f>
        <v/>
      </c>
      <c r="E18" s="205">
        <f>'01_Source_Data'!C23</f>
        <v/>
      </c>
      <c r="F18" s="205">
        <f>'01_Source_Data'!D23</f>
        <v/>
      </c>
      <c r="G18" s="206">
        <f>IF(OR(D18=0,D18=""),"n/d",(E18-D18)/ABS(D18))</f>
        <v/>
      </c>
      <c r="H18" s="206">
        <f>IF(OR(E18=0,E18=""),"n/d",(F18-E18)/ABS(E18))</f>
        <v/>
      </c>
      <c r="I18" s="204" t="inlineStr">
        <is>
          <t>POSITIVE</t>
        </is>
      </c>
      <c r="J18" s="164" t="inlineStr">
        <is>
          <t>CFO: 6 260 → −1 128 → 6 949. Volatile — driven by working capital, not margin.</t>
        </is>
      </c>
    </row>
    <row r="19" ht="30" customHeight="1" s="109">
      <c r="A19" s="188" t="inlineStr">
        <is>
          <t>Cash_Flow</t>
        </is>
      </c>
      <c r="B19" s="199" t="inlineStr">
        <is>
          <t>CFS_PLN_000</t>
        </is>
      </c>
      <c r="C19" s="200" t="inlineStr">
        <is>
          <t>PLN_thousands</t>
        </is>
      </c>
      <c r="D19" s="176" t="inlineStr">
        <is>
          <t>n/d</t>
        </is>
      </c>
      <c r="E19" s="205">
        <f>Cash_Flow_Sales!C5</f>
        <v/>
      </c>
      <c r="F19" s="205">
        <f>Cash_Flow_Sales!D5</f>
        <v/>
      </c>
      <c r="G19" s="176" t="inlineStr">
        <is>
          <t>n/d</t>
        </is>
      </c>
      <c r="H19" s="176" t="inlineStr">
        <is>
          <t>n/d</t>
        </is>
      </c>
      <c r="I19" s="204" t="inlineStr">
        <is>
          <t>POSITIVE</t>
        </is>
      </c>
      <c r="J19" s="164" t="inlineStr">
        <is>
          <t>CFS: −6 044 → +2 742. KON release drove improvement, not EBIT.</t>
        </is>
      </c>
    </row>
    <row r="20" ht="30" customHeight="1" s="109">
      <c r="A20" s="188" t="inlineStr">
        <is>
          <t>Cash_Flow</t>
        </is>
      </c>
      <c r="B20" s="199" t="inlineStr">
        <is>
          <t>CFO_EBITDA_ratio</t>
        </is>
      </c>
      <c r="C20" s="200" t="inlineStr">
        <is>
          <t>ratio</t>
        </is>
      </c>
      <c r="D20" s="209">
        <f>EBITDA_CFO!C7</f>
        <v/>
      </c>
      <c r="E20" s="176" t="inlineStr">
        <is>
          <t>n/d</t>
        </is>
      </c>
      <c r="F20" s="209">
        <f>EBITDA_CFO!E7</f>
        <v/>
      </c>
      <c r="G20" s="176" t="inlineStr">
        <is>
          <t>n/d</t>
        </is>
      </c>
      <c r="H20" s="176" t="inlineStr">
        <is>
          <t>n/d</t>
        </is>
      </c>
      <c r="I20" s="204" t="inlineStr">
        <is>
          <t>POSITIVE</t>
        </is>
      </c>
      <c r="J20" s="164" t="inlineStr">
        <is>
          <t>CFO/EBITDA: 0.72x (2023) → n/d (2024 negative) → 1.37x (2025).</t>
        </is>
      </c>
    </row>
    <row r="21" ht="30" customHeight="1" s="109">
      <c r="A21" s="188" t="inlineStr">
        <is>
          <t>Liquidity</t>
        </is>
      </c>
      <c r="B21" s="199" t="inlineStr">
        <is>
          <t>Current_Ratio</t>
        </is>
      </c>
      <c r="C21" s="200" t="inlineStr">
        <is>
          <t>ratio</t>
        </is>
      </c>
      <c r="D21" s="209">
        <f>'01_Source_Data'!B13/'01_Source_Data'!B19</f>
        <v/>
      </c>
      <c r="E21" s="209">
        <f>'01_Source_Data'!C13/'01_Source_Data'!C19</f>
        <v/>
      </c>
      <c r="F21" s="209">
        <f>'01_Source_Data'!D13/'01_Source_Data'!D19</f>
        <v/>
      </c>
      <c r="G21" s="206">
        <f>IF(OR(D21=0,D21=""),"n/d",(E21-D21)/ABS(D21))</f>
        <v/>
      </c>
      <c r="H21" s="206">
        <f>IF(OR(E21=0,E21=""),"n/d",(F21-E21)/ABS(E21))</f>
        <v/>
      </c>
      <c r="I21" s="204" t="inlineStr">
        <is>
          <t>POSITIVE</t>
        </is>
      </c>
      <c r="J21" s="164" t="inlineStr">
        <is>
          <t>Current ratio improving 1.48→1.79. No liquidity crisis.</t>
        </is>
      </c>
    </row>
    <row r="22" ht="30" customHeight="1" s="109">
      <c r="A22" s="188" t="inlineStr">
        <is>
          <t>Debt</t>
        </is>
      </c>
      <c r="B22" s="199" t="inlineStr">
        <is>
          <t>Debt_Equity</t>
        </is>
      </c>
      <c r="C22" s="200" t="inlineStr">
        <is>
          <t>ratio</t>
        </is>
      </c>
      <c r="D22" s="209">
        <f>'01_Source_Data'!B18/'01_Source_Data'!B21</f>
        <v/>
      </c>
      <c r="E22" s="209">
        <f>'01_Source_Data'!C18/'01_Source_Data'!C21</f>
        <v/>
      </c>
      <c r="F22" s="209">
        <f>'01_Source_Data'!D18/'01_Source_Data'!D21</f>
        <v/>
      </c>
      <c r="G22" s="206">
        <f>IF(OR(D22=0,D22=""),"n/d",(E22-D22)/ABS(D22))</f>
        <v/>
      </c>
      <c r="H22" s="206">
        <f>IF(OR(E22=0,E22=""),"n/d",(F22-E22)/ABS(E22))</f>
        <v/>
      </c>
      <c r="I22" s="204" t="inlineStr">
        <is>
          <t>POSITIVE</t>
        </is>
      </c>
      <c r="J22" s="164" t="inlineStr">
        <is>
          <t>D/E falling 0.79→0.69. No debt pressure. Problem is operational.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8" customWidth="1" style="108" min="1" max="1"/>
    <col width="14" customWidth="1" style="108" min="2" max="4"/>
    <col width="42" customWidth="1" style="108" min="5" max="5"/>
  </cols>
  <sheetData>
    <row r="1" ht="27.75" customHeight="1" s="109">
      <c r="A1" s="210" t="inlineStr">
        <is>
          <t>SOURCE DATA  —  ERG S.A. 2023–2025  |  tys. zł</t>
        </is>
      </c>
    </row>
    <row r="2" ht="13.5" customHeight="1" s="109">
      <c r="A2" s="211" t="inlineStr">
        <is>
          <t>Niebieski = dane wejściowe (INP)  |  Czarny = formuły  |  To jest arkusz źródłowy — nie edytuj bezpośrednio</t>
        </is>
      </c>
      <c r="B2" s="112" t="n"/>
      <c r="C2" s="112" t="n"/>
      <c r="D2" s="112" t="n"/>
      <c r="E2" s="112" t="n"/>
    </row>
    <row r="3" ht="18" customHeight="1" s="109">
      <c r="A3" s="187" t="inlineStr">
        <is>
          <t>Pozycja</t>
        </is>
      </c>
      <c r="B3" s="134" t="inlineStr">
        <is>
          <t>2023</t>
        </is>
      </c>
      <c r="C3" s="134" t="inlineStr">
        <is>
          <t>2024</t>
        </is>
      </c>
      <c r="D3" s="134" t="inlineStr">
        <is>
          <t>2025</t>
        </is>
      </c>
      <c r="E3" s="134" t="inlineStr">
        <is>
          <t>Źródło</t>
        </is>
      </c>
    </row>
    <row r="4" ht="18" customHeight="1" s="109">
      <c r="A4" s="188" t="inlineStr">
        <is>
          <t>RACHUNEK WYNIKÓW</t>
        </is>
      </c>
      <c r="B4" s="129" t="n"/>
      <c r="C4" s="129" t="n"/>
      <c r="D4" s="129" t="n"/>
      <c r="E4" s="129" t="n"/>
    </row>
    <row r="5" ht="18" customHeight="1" s="109">
      <c r="A5" s="212" t="inlineStr">
        <is>
          <t>Przychody ze sprzedaży</t>
        </is>
      </c>
      <c r="B5" s="213" t="n">
        <v>94272</v>
      </c>
      <c r="C5" s="213" t="n">
        <v>73660</v>
      </c>
      <c r="D5" s="213" t="n">
        <v>74463</v>
      </c>
      <c r="E5" s="214" t="inlineStr">
        <is>
          <t>SF RZiS / Spr. zarządu</t>
        </is>
      </c>
    </row>
    <row r="6" ht="18" customHeight="1" s="109">
      <c r="A6" s="212" t="inlineStr">
        <is>
          <t>Koszt własny sprzedaży (COGS)</t>
        </is>
      </c>
      <c r="B6" s="213" t="n">
        <v>76111</v>
      </c>
      <c r="C6" s="213" t="n">
        <v>63287</v>
      </c>
      <c r="D6" s="213" t="n">
        <v>64330</v>
      </c>
      <c r="E6" s="214" t="inlineStr">
        <is>
          <t>SF RZiS / Spr. zarządu 2025</t>
        </is>
      </c>
    </row>
    <row r="7" ht="18" customHeight="1" s="109">
      <c r="A7" s="212" t="inlineStr">
        <is>
          <t>Zysk brutto ze sprzedaży</t>
        </is>
      </c>
      <c r="B7" s="215">
        <f>B5-B6</f>
        <v/>
      </c>
      <c r="C7" s="215">
        <f>C5-C6</f>
        <v/>
      </c>
      <c r="D7" s="215">
        <f>D5-D6</f>
        <v/>
      </c>
      <c r="E7" s="214" t="inlineStr">
        <is>
          <t>Wzór: Przychody − COGS</t>
        </is>
      </c>
    </row>
    <row r="8" ht="18" customHeight="1" s="109">
      <c r="A8" s="212" t="inlineStr">
        <is>
          <t>Zysk operacyjny (EBIT)</t>
        </is>
      </c>
      <c r="B8" s="213" t="n">
        <v>3975</v>
      </c>
      <c r="C8" s="213" t="n">
        <v>-821</v>
      </c>
      <c r="D8" s="213" t="n">
        <v>552</v>
      </c>
      <c r="E8" s="214" t="inlineStr">
        <is>
          <t>SF RZiS</t>
        </is>
      </c>
    </row>
    <row r="9" ht="18" customHeight="1" s="109">
      <c r="A9" s="212" t="inlineStr">
        <is>
          <t>Amortyzacja (D&amp;A)</t>
        </is>
      </c>
      <c r="B9" s="213" t="n">
        <v>4745</v>
      </c>
      <c r="C9" s="213" t="n">
        <v>4649</v>
      </c>
      <c r="D9" s="213" t="n">
        <v>4517</v>
      </c>
      <c r="E9" s="214" t="inlineStr">
        <is>
          <t>Rachunek przepływów</t>
        </is>
      </c>
    </row>
    <row r="10" ht="18" customHeight="1" s="109">
      <c r="A10" s="212" t="inlineStr">
        <is>
          <t>EBITDA</t>
        </is>
      </c>
      <c r="B10" s="216">
        <f>B8+B9</f>
        <v/>
      </c>
      <c r="C10" s="216">
        <f>C8+C9</f>
        <v/>
      </c>
      <c r="D10" s="216">
        <f>D8+D9</f>
        <v/>
      </c>
      <c r="E10" s="214" t="inlineStr">
        <is>
          <t>Wzór: EBIT + D&amp;A</t>
        </is>
      </c>
    </row>
    <row r="11" ht="18" customHeight="1" s="109">
      <c r="A11" s="212" t="inlineStr">
        <is>
          <t>Zysk netto</t>
        </is>
      </c>
      <c r="B11" s="213" t="n">
        <v>3199</v>
      </c>
      <c r="C11" s="213" t="n">
        <v>-653</v>
      </c>
      <c r="D11" s="213" t="n">
        <v>-67</v>
      </c>
      <c r="E11" s="214" t="inlineStr">
        <is>
          <t>SF RZiS</t>
        </is>
      </c>
    </row>
    <row r="12" ht="18" customHeight="1" s="109">
      <c r="A12" s="188" t="inlineStr">
        <is>
          <t>BILANS</t>
        </is>
      </c>
      <c r="B12" s="129" t="n"/>
      <c r="C12" s="129" t="n"/>
      <c r="D12" s="129" t="n"/>
      <c r="E12" s="129" t="n"/>
    </row>
    <row r="13" ht="18" customHeight="1" s="109">
      <c r="A13" s="212" t="inlineStr">
        <is>
          <t>Aktywa obrotowe</t>
        </is>
      </c>
      <c r="B13" s="213" t="n">
        <v>23738</v>
      </c>
      <c r="C13" s="213" t="n">
        <v>23916</v>
      </c>
      <c r="D13" s="213" t="n">
        <v>25056</v>
      </c>
      <c r="E13" s="214" t="inlineStr">
        <is>
          <t>Bilans</t>
        </is>
      </c>
    </row>
    <row r="14" ht="18" customHeight="1" s="109">
      <c r="A14" s="212" t="inlineStr">
        <is>
          <t>Zapasy</t>
        </is>
      </c>
      <c r="B14" s="213" t="n">
        <v>9258</v>
      </c>
      <c r="C14" s="213" t="n">
        <v>14304</v>
      </c>
      <c r="D14" s="213" t="n">
        <v>12841</v>
      </c>
      <c r="E14" s="214" t="inlineStr">
        <is>
          <t>Nota 17</t>
        </is>
      </c>
    </row>
    <row r="15" ht="18" customHeight="1" s="109">
      <c r="A15" s="212" t="inlineStr">
        <is>
          <t>Należności handlowe i pozostałe</t>
        </is>
      </c>
      <c r="B15" s="213" t="n">
        <v>12644</v>
      </c>
      <c r="C15" s="213" t="n">
        <v>9197</v>
      </c>
      <c r="D15" s="213" t="n">
        <v>10392</v>
      </c>
      <c r="E15" s="214" t="inlineStr">
        <is>
          <t>Nota 18</t>
        </is>
      </c>
    </row>
    <row r="16" ht="18" customHeight="1" s="109">
      <c r="A16" s="212" t="inlineStr">
        <is>
          <t>Środki pieniężne</t>
        </is>
      </c>
      <c r="C16" s="213" t="n">
        <v>415</v>
      </c>
      <c r="D16" s="213" t="n">
        <v>1823</v>
      </c>
      <c r="E16" s="214" t="inlineStr">
        <is>
          <t>Bilans</t>
        </is>
      </c>
    </row>
    <row r="17" ht="18" customHeight="1" s="109">
      <c r="A17" s="212" t="inlineStr">
        <is>
          <t>Aktywa ogółem</t>
        </is>
      </c>
      <c r="B17" s="213" t="n">
        <v>74356</v>
      </c>
      <c r="C17" s="213" t="n">
        <v>70058</v>
      </c>
      <c r="D17" s="213" t="n">
        <v>68514</v>
      </c>
      <c r="E17" s="214" t="inlineStr">
        <is>
          <t>Bilans</t>
        </is>
      </c>
    </row>
    <row r="18" ht="18" customHeight="1" s="109">
      <c r="A18" s="212" t="inlineStr">
        <is>
          <t>Zobowiązania ogółem</t>
        </is>
      </c>
      <c r="B18" s="213" t="n">
        <v>32944</v>
      </c>
      <c r="C18" s="213" t="n">
        <v>29303</v>
      </c>
      <c r="D18" s="213" t="n">
        <v>27852</v>
      </c>
      <c r="E18" s="214" t="inlineStr">
        <is>
          <t>Bilans</t>
        </is>
      </c>
    </row>
    <row r="19" ht="18" customHeight="1" s="109">
      <c r="A19" s="212" t="inlineStr">
        <is>
          <t>Zobowiązania krótkoterminowe</t>
        </is>
      </c>
      <c r="B19" s="213" t="n">
        <v>16020</v>
      </c>
      <c r="C19" s="213" t="n">
        <v>14266</v>
      </c>
      <c r="D19" s="213" t="n">
        <v>14024</v>
      </c>
      <c r="E19" s="214" t="inlineStr">
        <is>
          <t>Bilans</t>
        </is>
      </c>
    </row>
    <row r="20" ht="18" customHeight="1" s="109">
      <c r="A20" s="212" t="inlineStr">
        <is>
          <t>Zobowiązania handlowe</t>
        </is>
      </c>
      <c r="B20" s="213" t="n">
        <v>11496</v>
      </c>
      <c r="C20" s="213" t="n">
        <v>7872</v>
      </c>
      <c r="D20" s="213" t="n">
        <v>9794</v>
      </c>
      <c r="E20" s="214" t="inlineStr">
        <is>
          <t>Nota 25</t>
        </is>
      </c>
    </row>
    <row r="21" ht="18" customHeight="1" s="109">
      <c r="A21" s="212" t="inlineStr">
        <is>
          <t>Kapitał własny</t>
        </is>
      </c>
      <c r="B21" s="213" t="n">
        <v>41412</v>
      </c>
      <c r="C21" s="213" t="n">
        <v>40755</v>
      </c>
      <c r="D21" s="213" t="n">
        <v>40662</v>
      </c>
      <c r="E21" s="214" t="inlineStr">
        <is>
          <t>Bilans</t>
        </is>
      </c>
    </row>
    <row r="22" ht="18" customHeight="1" s="109">
      <c r="A22" s="188" t="inlineStr">
        <is>
          <t>RACHUNEK PRZEPŁYWÓW</t>
        </is>
      </c>
      <c r="B22" s="129" t="n"/>
      <c r="C22" s="129" t="n"/>
      <c r="D22" s="129" t="n"/>
      <c r="E22" s="129" t="n"/>
    </row>
    <row r="23" ht="18" customHeight="1" s="109">
      <c r="A23" s="212" t="inlineStr">
        <is>
          <t>CFO — przepływy z dz. operacyjnej</t>
        </is>
      </c>
      <c r="B23" s="213" t="n">
        <v>6260</v>
      </c>
      <c r="C23" s="213" t="n">
        <v>-1128</v>
      </c>
      <c r="D23" s="213" t="n">
        <v>6949</v>
      </c>
      <c r="E23" s="214" t="inlineStr">
        <is>
          <t>Rachunek przepływów</t>
        </is>
      </c>
    </row>
  </sheetData>
  <mergeCells count="5">
    <mergeCell ref="A12:E12"/>
    <mergeCell ref="A4:E4"/>
    <mergeCell ref="A2:E2"/>
    <mergeCell ref="A1:E1"/>
    <mergeCell ref="A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2026-05-05T16:31:25Z</dcterms:created>
  <dcterms:modified xmlns:dcterms="http://purl.org/dc/terms/" xmlns:xsi="http://www.w3.org/2001/XMLSchema-instance" xsi:type="dcterms:W3CDTF">2026-05-05T16:35:47Z</dcterms:modified>
  <cp:revision>0</cp:revision>
</cp:coreProperties>
</file>